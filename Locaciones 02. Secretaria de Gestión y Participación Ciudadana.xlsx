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5"/>
    <sheet state="visible" name="Locaciones" sheetId="2" r:id="rId6"/>
  </sheets>
  <definedNames/>
  <calcPr/>
</workbook>
</file>

<file path=xl/sharedStrings.xml><?xml version="1.0" encoding="utf-8"?>
<sst xmlns="http://schemas.openxmlformats.org/spreadsheetml/2006/main" count="395" uniqueCount="217">
  <si>
    <t>📌 Instrucciones para completar el archivo Excel de Locación de Servicios</t>
  </si>
  <si>
    <r>
      <rPr>
        <rFont val="Roboto"/>
        <b/>
        <color theme="1"/>
        <sz val="11.0"/>
      </rPr>
      <t>👉</t>
    </r>
    <r>
      <rPr>
        <rFont val="Roboto"/>
        <b val="0"/>
        <color theme="1"/>
        <sz val="11.0"/>
      </rPr>
      <t xml:space="preserve"> Objetivo:</t>
    </r>
    <r>
      <rPr>
        <rFont val="Roboto"/>
        <b/>
        <color theme="1"/>
        <sz val="11.0"/>
      </rPr>
      <t xml:space="preserve"> </t>
    </r>
    <r>
      <rPr>
        <rFont val="Roboto"/>
        <b val="0"/>
        <color theme="1"/>
        <sz val="11.0"/>
      </rPr>
      <t xml:space="preserve">Contar con una base unificada de locadores de servicio por área. </t>
    </r>
  </si>
  <si>
    <t>📝 Formato de carga</t>
  </si>
  <si>
    <t>Apellido y Nombre: escribir en el formato [Apellido, Nombre].</t>
  </si>
  <si>
    <t>DNI: ingresar el número sin puntos (ejemplo: 12345678).</t>
  </si>
  <si>
    <r>
      <rPr>
        <rFont val="Roboto"/>
        <color theme="1"/>
      </rPr>
      <t xml:space="preserve">En cada nueva columna de mes, cargar el monto </t>
    </r>
    <r>
      <rPr>
        <rFont val="Roboto"/>
        <b/>
        <color theme="1"/>
      </rPr>
      <t>DEVENGADO</t>
    </r>
    <r>
      <rPr>
        <rFont val="Roboto"/>
        <color theme="1"/>
      </rPr>
      <t xml:space="preserve"> correspondiente a la locación de servicios. Es decir, se debe consignar el importe que corresponde al período trabajado, independientemente de la fecha en que se realice el pago efectivo.</t>
    </r>
  </si>
  <si>
    <t>⚙️ Carga de casos especiales</t>
  </si>
  <si>
    <t xml:space="preserve">👉 Baja de una persona: </t>
  </si>
  <si>
    <r>
      <rPr>
        <rFont val="Roboto"/>
        <color theme="1"/>
      </rPr>
      <t xml:space="preserve">Cuando un contrato finaliza o la persona renuncia antes de su vencimiento, se debe consignar </t>
    </r>
    <r>
      <rPr>
        <rFont val="Roboto"/>
        <b/>
        <color theme="1"/>
      </rPr>
      <t xml:space="preserve">estrictamente el valor 0. </t>
    </r>
    <r>
      <rPr>
        <rFont val="Roboto"/>
        <color theme="1"/>
      </rPr>
      <t>De esta manera se identifica que la persona ya no forma parte de la nómina de locadores. Por eso es importante mantener los datos actualizados y precisos, ya que toda persona con valor 0 será considerada fuera del listado activo.</t>
    </r>
  </si>
  <si>
    <t>👉 Licencia o situación sin devengamiento:</t>
  </si>
  <si>
    <t xml:space="preserve">Si una persona está de licencia o en alguna situación en la que no se devenga pago durante un mes determinado, debe registrarse el valor 0,1. De esta forma, la persona se mantendrá en la nómina, pero quedará indicado que ese mes no se devengo su pago. </t>
  </si>
  <si>
    <t>📅 Plazos de carga</t>
  </si>
  <si>
    <t>Antes del día 20 de cada mes, deberán estar cargados los datos correspondientes a los montos devengados del mes inmediato anterior.</t>
  </si>
  <si>
    <t>Ejemplo: los gastos devengados en octubre deberán cargarse antes del 20 de noviembre.</t>
  </si>
  <si>
    <r>
      <rPr>
        <rFont val="Roboto"/>
        <b/>
        <color theme="1"/>
      </rPr>
      <t xml:space="preserve">📝Renovación de contratos </t>
    </r>
    <r>
      <rPr>
        <rFont val="Roboto"/>
        <b/>
        <color rgb="FF63D297"/>
      </rPr>
      <t>[NUEVO]</t>
    </r>
  </si>
  <si>
    <t>Si una persona tiene un contrato que vence y se va a cargar su renovación, esta debe registrarse en una nueva fila de la base, respetando exactamente la forma en que están escritos el nombre y el DNI (Recomendamos copiar y pegar estos datos personales en la nueva fila para garantizar que estén escritos de manera idéntica). Luego, se deben completar los datos del nuevo contrato (FUAP, fecha de inicio, fecha de vencimiento, etc.) y asignar los montos en los meses correspondientes.</t>
  </si>
  <si>
    <r>
      <rPr>
        <rFont val="Roboto"/>
        <b/>
        <color theme="1"/>
      </rPr>
      <t xml:space="preserve">♻️Cambios de Area - Altas/Bajas </t>
    </r>
    <r>
      <rPr>
        <rFont val="Roboto"/>
        <b/>
        <color rgb="FF63D297"/>
      </rPr>
      <t>[NUEVO]</t>
    </r>
  </si>
  <si>
    <t>Opciones de carga:</t>
  </si>
  <si>
    <r>
      <rPr>
        <rFont val="Roboto"/>
        <b/>
        <color theme="1"/>
      </rPr>
      <t>Alta:</t>
    </r>
    <r>
      <rPr>
        <rFont val="Roboto"/>
        <color theme="1"/>
      </rPr>
      <t xml:space="preserve"> utilizar cuando una persona se incorpora por primera vez al área.</t>
    </r>
  </si>
  <si>
    <r>
      <rPr>
        <rFont val="Roboto"/>
        <b/>
        <color theme="1"/>
      </rPr>
      <t xml:space="preserve">Baja: </t>
    </r>
    <r>
      <rPr>
        <rFont val="Roboto"/>
        <color theme="1"/>
      </rPr>
      <t>utilizar cuando una persona deja de prestar servicios de manera definitiva.</t>
    </r>
  </si>
  <si>
    <r>
      <rPr>
        <rFont val="Roboto"/>
        <b/>
        <color theme="1"/>
      </rPr>
      <t xml:space="preserve">Alta por cambio de área: </t>
    </r>
    <r>
      <rPr>
        <rFont val="Roboto"/>
        <color theme="1"/>
      </rPr>
      <t>utilizar cuando una persona se incorpora al área como resultado de un cambio en el organigrama o traslado desde otra área. En este caso, deberán completarse también todas las columnas restantes, como se venía haciendo habitualmente.</t>
    </r>
  </si>
  <si>
    <r>
      <rPr>
        <rFont val="Roboto"/>
        <b/>
        <color theme="1"/>
      </rPr>
      <t xml:space="preserve">Baja por cambio de área: </t>
    </r>
    <r>
      <rPr>
        <rFont val="Roboto"/>
        <color theme="1"/>
      </rPr>
      <t>utilizar cuando una persona deja de pertenecer al área como resultado de un cambio en el organigrama o traslado hacia otra área.</t>
    </r>
  </si>
  <si>
    <t>Apellido y Nombre</t>
  </si>
  <si>
    <t>Alta/Baja</t>
  </si>
  <si>
    <t>DNI</t>
  </si>
  <si>
    <t>ID Proveedor</t>
  </si>
  <si>
    <t>Lugar</t>
  </si>
  <si>
    <t>Inicio de Contrato</t>
  </si>
  <si>
    <t>Fin de Contrato</t>
  </si>
  <si>
    <t>FUAP</t>
  </si>
  <si>
    <t>Monto del Contrato</t>
  </si>
  <si>
    <t xml:space="preserve">SCHIAVI STEFANI MELISA </t>
  </si>
  <si>
    <t>Baja</t>
  </si>
  <si>
    <t>SEC. GESTIÓN Y PART. CIUDADANA - SUBSECRETARÍA DE PARTICIPACIÓN CIUDADANA</t>
  </si>
  <si>
    <t>5001/25</t>
  </si>
  <si>
    <t>PIQUER GERMAN MATIAS</t>
  </si>
  <si>
    <t>Alta</t>
  </si>
  <si>
    <t>3399/25</t>
  </si>
  <si>
    <t>6959/25</t>
  </si>
  <si>
    <t>4426/26</t>
  </si>
  <si>
    <t>VILLEGAS JESUS HORACIO EZEQUIEL</t>
  </si>
  <si>
    <t>SEC. GESTIÓN Y PART. CIUDADANA - SUBSECRETARÍA DE ESTADISTICAS</t>
  </si>
  <si>
    <t>6393/25</t>
  </si>
  <si>
    <t>SEC. GESTIÓN Y PART. CIUDADANA - GESTION DE CALIDAD Y POL PUB BASADAS EN EVIDENCIAS</t>
  </si>
  <si>
    <t>2973/26</t>
  </si>
  <si>
    <t>GONZALEZ GUTIERREZ ANALIA KARINA</t>
  </si>
  <si>
    <t>SEC. GESTIÓN Y PART. CIUDADANA - LA MUNI EN TU BARRIO</t>
  </si>
  <si>
    <t>4685/25</t>
  </si>
  <si>
    <t>1267/26</t>
  </si>
  <si>
    <t>VIU ESTEBAN NICOLAS</t>
  </si>
  <si>
    <t>SEC. GESTIÓN Y PART. CIUDADANA - DESARROLLO INTEGRAL DE LA JUVENTUD</t>
  </si>
  <si>
    <t>4506/25</t>
  </si>
  <si>
    <t>SCHMIDT SASSATELLI ROCIO BERENICE</t>
  </si>
  <si>
    <t>Alta por Cambio de Area</t>
  </si>
  <si>
    <t>6758/25</t>
  </si>
  <si>
    <t>4424/26</t>
  </si>
  <si>
    <t>MOLINUEVO CLAUDIA MABEL</t>
  </si>
  <si>
    <t>SEC. GESTIÓN Y PART. CIUDADANA - CLE</t>
  </si>
  <si>
    <t>3877/26</t>
  </si>
  <si>
    <t>DIB NAYLA ZAQUIA</t>
  </si>
  <si>
    <t>SEC. GESTIÓN Y PART. CIUDADANA - SUBSCRETARIA DE EDUCACION</t>
  </si>
  <si>
    <t>3913/26</t>
  </si>
  <si>
    <t>4450/26</t>
  </si>
  <si>
    <t xml:space="preserve">BAÉZ MARÍA CECILIA </t>
  </si>
  <si>
    <t>3270
3925</t>
  </si>
  <si>
    <t>BALDONCINI CARINA SOLEDAD</t>
  </si>
  <si>
    <t>3301
3956</t>
  </si>
  <si>
    <t>BARRA CORA</t>
  </si>
  <si>
    <t>3271
3926</t>
  </si>
  <si>
    <t xml:space="preserve">BARRERA ANALIA VIRGINIA </t>
  </si>
  <si>
    <t>3272
3927</t>
  </si>
  <si>
    <t>BASSANI AYELÉN ANAHÍ</t>
  </si>
  <si>
    <t>3302
3957</t>
  </si>
  <si>
    <t>BERTE MARIANA SUSANA</t>
  </si>
  <si>
    <t>3303
3958</t>
  </si>
  <si>
    <t>BLANCO SANDRA VERÓNICA</t>
  </si>
  <si>
    <t>3273
4338</t>
  </si>
  <si>
    <t>BRARDA NOELIA SOLEDAD</t>
  </si>
  <si>
    <t>3274
3929</t>
  </si>
  <si>
    <t>CAMPOS MARÍA DE LOS ANGELES</t>
  </si>
  <si>
    <t>3275
3930</t>
  </si>
  <si>
    <t xml:space="preserve">CARBONELL MARÍA DEL CARMEN </t>
  </si>
  <si>
    <t>3276
3931</t>
  </si>
  <si>
    <t xml:space="preserve">CARNERO BALMACEDA FLORENCIA </t>
  </si>
  <si>
    <t>3277
3932</t>
  </si>
  <si>
    <t>CARRIZO ROSA BEATRIZ</t>
  </si>
  <si>
    <t>3304
3959</t>
  </si>
  <si>
    <t>CONTRERAS LOZANO ENMA GLADYS</t>
  </si>
  <si>
    <t>EN TRAMITE</t>
  </si>
  <si>
    <t xml:space="preserve">COOREMAN VALERIA FLORENCIA </t>
  </si>
  <si>
    <t>3278
3933</t>
  </si>
  <si>
    <t xml:space="preserve">CORIA LUCIA DEL CARMEN </t>
  </si>
  <si>
    <t>3279
3974</t>
  </si>
  <si>
    <t>CRESPI SANDRA RITA</t>
  </si>
  <si>
    <t>3305
3960</t>
  </si>
  <si>
    <t>DEPETRIS FONCECA CARLA ANDREA</t>
  </si>
  <si>
    <t>3280
3935</t>
  </si>
  <si>
    <t xml:space="preserve">DÍAZ AGUILERA LUCIA DE LAS MERCEDES </t>
  </si>
  <si>
    <t>3281
3936</t>
  </si>
  <si>
    <t xml:space="preserve">DOMÍNGUEZ MARIA EMILIA </t>
  </si>
  <si>
    <t>3283
3938</t>
  </si>
  <si>
    <t xml:space="preserve">ESTABRE ROMINA GISELA </t>
  </si>
  <si>
    <t>3282
3937</t>
  </si>
  <si>
    <t>FERNÁNDEZ MARINA SELENE</t>
  </si>
  <si>
    <t>3284
3939</t>
  </si>
  <si>
    <t>FERREYRA JESICA SOLEDAD</t>
  </si>
  <si>
    <t>3285
3940</t>
  </si>
  <si>
    <t>FISCHER ALEJANDRA CARINA</t>
  </si>
  <si>
    <t>3286
3941</t>
  </si>
  <si>
    <t>FOSSATI MARINA</t>
  </si>
  <si>
    <t>3287
3942</t>
  </si>
  <si>
    <t>HERRERA YANEL BERNABELLA</t>
  </si>
  <si>
    <t>3288
3943</t>
  </si>
  <si>
    <t xml:space="preserve">LEDESMA NORA BEATRIZ </t>
  </si>
  <si>
    <t>3289
3944</t>
  </si>
  <si>
    <t>MERCADO MÓNICA RAMONA</t>
  </si>
  <si>
    <t>3306
3961</t>
  </si>
  <si>
    <t>MORENO CARLA ANTONELLA</t>
  </si>
  <si>
    <t>3290
3945</t>
  </si>
  <si>
    <t xml:space="preserve">PIUSSI NADIA ELIZABETH </t>
  </si>
  <si>
    <t>3291
3946</t>
  </si>
  <si>
    <t xml:space="preserve">QUINTEROS JUAN IGNACIO </t>
  </si>
  <si>
    <t>3292
3947</t>
  </si>
  <si>
    <t xml:space="preserve">REQUELME JULIETA MACARENA </t>
  </si>
  <si>
    <t>3293
3948</t>
  </si>
  <si>
    <t xml:space="preserve">ROBLEDO JULIETA BEATRIZ </t>
  </si>
  <si>
    <t>3307
3962</t>
  </si>
  <si>
    <t xml:space="preserve">ROMAGNOLI MARIANELA SOLEDAD </t>
  </si>
  <si>
    <t>3308
3963</t>
  </si>
  <si>
    <t>ROMERO MARTA HAYDEE</t>
  </si>
  <si>
    <t>3294
3949</t>
  </si>
  <si>
    <t xml:space="preserve">ROSSAROLI MARÍA GABRIELA </t>
  </si>
  <si>
    <t>3295
3950</t>
  </si>
  <si>
    <t>RUCCI VERÓNICA LORENA</t>
  </si>
  <si>
    <t>3296
3951</t>
  </si>
  <si>
    <t>RUFINO JULIETA ANALÍA</t>
  </si>
  <si>
    <t>3297
3952</t>
  </si>
  <si>
    <t>SAVORGNANO SELVA PAOLA</t>
  </si>
  <si>
    <t>3309
3964</t>
  </si>
  <si>
    <t>SCHIAVI MARÍA FLORENCIA</t>
  </si>
  <si>
    <t>3310
3965</t>
  </si>
  <si>
    <t>SIRACUSA BRUNELLA</t>
  </si>
  <si>
    <t>3298
3953</t>
  </si>
  <si>
    <t xml:space="preserve">SOLA CRISTINA MARICEL </t>
  </si>
  <si>
    <t>3299
3954</t>
  </si>
  <si>
    <t>SPIZZIRRI MARÍA DEL CARMEN</t>
  </si>
  <si>
    <t>3311
3966</t>
  </si>
  <si>
    <t>VARGAS VANINA ALEJANDRA</t>
  </si>
  <si>
    <t>3300
3955</t>
  </si>
  <si>
    <t>AREVALO NATHALIE DENISE</t>
  </si>
  <si>
    <t>3370
3992</t>
  </si>
  <si>
    <t xml:space="preserve">LÓPEZ  VANESA CARINA </t>
  </si>
  <si>
    <t>3374
3993</t>
  </si>
  <si>
    <t xml:space="preserve">MOLINA  VERÓNICA NOEMÍ </t>
  </si>
  <si>
    <t>3375
3994</t>
  </si>
  <si>
    <t xml:space="preserve">SUAREZ MARÍA EUGENIA </t>
  </si>
  <si>
    <t>3376
3995</t>
  </si>
  <si>
    <t xml:space="preserve">GÓMEZ  LUCIA DENISE </t>
  </si>
  <si>
    <t>3382
3998</t>
  </si>
  <si>
    <t xml:space="preserve">GARAY ORTIZ  MERCEDES YANELA </t>
  </si>
  <si>
    <t>3378
3996</t>
  </si>
  <si>
    <t>PINAMONTI ANA CRISTINA</t>
  </si>
  <si>
    <r>
      <rPr>
        <rFont val="Arial"/>
        <color theme="1"/>
        <sz val="9.0"/>
      </rPr>
      <t xml:space="preserve">3380
</t>
    </r>
    <r>
      <rPr>
        <rFont val="Arial"/>
        <b/>
        <color theme="1"/>
        <sz val="9.0"/>
      </rPr>
      <t>FALTA NUEVO</t>
    </r>
  </si>
  <si>
    <t xml:space="preserve">QUIROGA OLGA STEFANIA </t>
  </si>
  <si>
    <t>3381
3997</t>
  </si>
  <si>
    <t xml:space="preserve">ALTAMIRANO TANIA ANTONELLA </t>
  </si>
  <si>
    <r>
      <rPr>
        <rFont val="Arial"/>
        <color theme="1"/>
        <sz val="9.0"/>
      </rPr>
      <t xml:space="preserve">3312
</t>
    </r>
    <r>
      <rPr>
        <rFont val="Arial"/>
        <b/>
        <color rgb="FFFF0000"/>
        <sz val="9.0"/>
      </rPr>
      <t>3967 Y 4339</t>
    </r>
  </si>
  <si>
    <t xml:space="preserve">ARRIETA ANA BELÉN </t>
  </si>
  <si>
    <t>3326
3981</t>
  </si>
  <si>
    <t>BENÍTEZ PATRICIA ROSANA</t>
  </si>
  <si>
    <t>3313
3968</t>
  </si>
  <si>
    <t xml:space="preserve">BRAVO VERÓNICA NOELIA </t>
  </si>
  <si>
    <t>3314
3969</t>
  </si>
  <si>
    <t xml:space="preserve">BUSSO IOHANNA MARIEL </t>
  </si>
  <si>
    <t>3327
3982</t>
  </si>
  <si>
    <t xml:space="preserve">CARRANZA ELBA ROSANA </t>
  </si>
  <si>
    <t>3328
3983</t>
  </si>
  <si>
    <t xml:space="preserve">CHÁVEZ CAMILA AYELEN </t>
  </si>
  <si>
    <t>3625
3980</t>
  </si>
  <si>
    <t>CUITIÑO SANDRA MABEL</t>
  </si>
  <si>
    <t>3329
3984</t>
  </si>
  <si>
    <t xml:space="preserve">DÍAZ MARÍA JULIETA </t>
  </si>
  <si>
    <t>3315
3970</t>
  </si>
  <si>
    <t>DÍAZ GRISELDA YAMILA</t>
  </si>
  <si>
    <t>3316
3971</t>
  </si>
  <si>
    <t xml:space="preserve">LONGHI GEORGINA </t>
  </si>
  <si>
    <t>3330
3985</t>
  </si>
  <si>
    <t xml:space="preserve">MÉNDEZ GABRIELA NOEMÍ </t>
  </si>
  <si>
    <t>3331
3986</t>
  </si>
  <si>
    <t xml:space="preserve">MONACO SANDRA MÓNICA </t>
  </si>
  <si>
    <t>3332
3987</t>
  </si>
  <si>
    <t xml:space="preserve">OCHELLO GABRIELA NOEMÍ </t>
  </si>
  <si>
    <r>
      <rPr>
        <rFont val="Arial"/>
        <color theme="1"/>
        <sz val="9.0"/>
      </rPr>
      <t xml:space="preserve">3317-3972
</t>
    </r>
    <r>
      <rPr>
        <rFont val="Arial"/>
        <b/>
        <color rgb="FFFF0000"/>
        <sz val="9.0"/>
      </rPr>
      <t>4423</t>
    </r>
  </si>
  <si>
    <t>PALACIOS ZULMA CELINA</t>
  </si>
  <si>
    <t>3333
3988</t>
  </si>
  <si>
    <t xml:space="preserve">PALANDRI CLAUDIA KARINA </t>
  </si>
  <si>
    <t>3318
3973</t>
  </si>
  <si>
    <t xml:space="preserve">PETRUZZI YESICA KARINA </t>
  </si>
  <si>
    <t>3334
3989</t>
  </si>
  <si>
    <t>SARANDON DEOLINDA PAOLA</t>
  </si>
  <si>
    <t>3319
3974</t>
  </si>
  <si>
    <t xml:space="preserve">SERGENT ANALÍA PATRICIA </t>
  </si>
  <si>
    <t>3335
3990</t>
  </si>
  <si>
    <t xml:space="preserve">SORIA ROMINA SOLEDAD </t>
  </si>
  <si>
    <t>3320
3975</t>
  </si>
  <si>
    <t>SOSA NADIA SOLEDAD</t>
  </si>
  <si>
    <t>3322
3977</t>
  </si>
  <si>
    <t xml:space="preserve">SOSA BARBERO EVELYN CELESTE </t>
  </si>
  <si>
    <t>3321
3976</t>
  </si>
  <si>
    <t xml:space="preserve">TISSERA FLORENCIA CELESTE </t>
  </si>
  <si>
    <t>3323
3978</t>
  </si>
  <si>
    <t xml:space="preserve">TORRES MARÍA BELÉN </t>
  </si>
  <si>
    <t>3325
3980</t>
  </si>
  <si>
    <t>ULLAN DEBORA IVANA</t>
  </si>
  <si>
    <t>3324
3979</t>
  </si>
  <si>
    <t>VILLAREAL CAROLINA RITA</t>
  </si>
  <si>
    <t>3336
3991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</si>
</sst>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0.00"/>
    <numFmt numFmtId="165" formatCode="dd/mm/yyyy"/>
  </numFmts>
  <fonts count="11">
    <font>
      <sz val="10.0"/>
      <color rgb="FF000000"/>
      <name val="Arial"/>
      <scheme val="minor"/>
    </font>
    <font>
      <b/>
      <sz val="11.0"/>
      <color theme="1"/>
      <name val="Roboto"/>
    </font>
    <font>
      <sz val="11.0"/>
      <color theme="1"/>
      <name val="Arial"/>
    </font>
    <font>
      <color theme="1"/>
      <name val="Arial"/>
    </font>
    <font/>
    <font>
      <b/>
      <color theme="1"/>
      <name val="Roboto"/>
    </font>
    <font>
      <color theme="1"/>
      <name val="Roboto"/>
    </font>
    <font>
      <b/>
      <color rgb="FFF1C232"/>
      <name val="Roboto"/>
    </font>
    <font>
      <b/>
      <sz val="9.0"/>
      <color theme="1"/>
      <name val="Arial"/>
    </font>
    <font>
      <b/>
      <color theme="1"/>
      <name val="Arial"/>
    </font>
    <font>
      <sz val="9.0"/>
      <color theme="1"/>
      <name val="Arial"/>
    </font>
  </fonts>
  <fills count="6">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FFFF00"/>
        <bgColor rgb="FFFFFF00"/>
      </patternFill>
    </fill>
  </fills>
  <borders count="10">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000000"/>
      </bottom>
    </border>
    <border>
      <left style="thin">
        <color rgb="FFFFFFFF"/>
      </left>
      <right style="thin">
        <color rgb="FFFFFFFF"/>
      </right>
      <bottom style="thin">
        <color rgb="FFFFFFFF"/>
      </bottom>
    </border>
    <border>
      <left style="thin">
        <color rgb="FFFFFFFF"/>
      </left>
    </border>
    <border>
      <left style="thin">
        <color rgb="FFFFFFFF"/>
      </left>
      <right style="thin">
        <color rgb="FFFFFFFF"/>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1" fillId="0" fontId="3" numFmtId="0" xfId="0" applyAlignment="1" applyBorder="1" applyFont="1">
      <alignment vertical="bottom"/>
    </xf>
    <xf borderId="2" fillId="0" fontId="1" numFmtId="0" xfId="0" applyAlignment="1" applyBorder="1" applyFont="1">
      <alignment shrinkToFit="0" vertical="bottom" wrapText="1"/>
    </xf>
    <xf borderId="3" fillId="0" fontId="4" numFmtId="0" xfId="0" applyBorder="1" applyFont="1"/>
    <xf borderId="4" fillId="0" fontId="4" numFmtId="0" xfId="0" applyBorder="1" applyFont="1"/>
    <xf borderId="1" fillId="0" fontId="3" numFmtId="0" xfId="0" applyAlignment="1" applyBorder="1" applyFont="1">
      <alignment vertical="bottom"/>
    </xf>
    <xf borderId="5" fillId="0" fontId="5" numFmtId="0" xfId="0" applyAlignment="1" applyBorder="1" applyFont="1">
      <alignment vertical="bottom"/>
    </xf>
    <xf borderId="5" fillId="0" fontId="3" numFmtId="0" xfId="0" applyAlignment="1" applyBorder="1" applyFont="1">
      <alignment vertical="bottom"/>
    </xf>
    <xf borderId="5" fillId="0" fontId="3" numFmtId="0" xfId="0" applyAlignment="1" applyBorder="1" applyFont="1">
      <alignment vertical="bottom"/>
    </xf>
    <xf borderId="6" fillId="0" fontId="6" numFmtId="0" xfId="0" applyAlignment="1" applyBorder="1" applyFont="1">
      <alignment vertical="bottom"/>
    </xf>
    <xf borderId="6" fillId="0" fontId="3" numFmtId="0" xfId="0" applyAlignment="1" applyBorder="1" applyFont="1">
      <alignment vertical="bottom"/>
    </xf>
    <xf borderId="6" fillId="0" fontId="3" numFmtId="0" xfId="0" applyAlignment="1" applyBorder="1" applyFont="1">
      <alignment vertical="bottom"/>
    </xf>
    <xf borderId="1" fillId="0" fontId="6" numFmtId="0" xfId="0" applyAlignment="1" applyBorder="1" applyFont="1">
      <alignment vertical="bottom"/>
    </xf>
    <xf borderId="0" fillId="0" fontId="6" numFmtId="0" xfId="0" applyAlignment="1" applyFont="1">
      <alignment shrinkToFit="0" wrapText="1"/>
    </xf>
    <xf borderId="7" fillId="0" fontId="3" numFmtId="0" xfId="0" applyBorder="1" applyFont="1"/>
    <xf borderId="8" fillId="0" fontId="3" numFmtId="0" xfId="0" applyBorder="1" applyFont="1"/>
    <xf borderId="1" fillId="0" fontId="7" numFmtId="0" xfId="0" applyAlignment="1" applyBorder="1" applyFont="1">
      <alignment vertical="bottom"/>
    </xf>
    <xf borderId="5" fillId="0" fontId="5" numFmtId="0" xfId="0" applyAlignment="1" applyBorder="1" applyFont="1">
      <alignment vertical="bottom"/>
    </xf>
    <xf borderId="1" fillId="2" fontId="3" numFmtId="0" xfId="0" applyAlignment="1" applyBorder="1" applyFill="1" applyFont="1">
      <alignment vertical="bottom"/>
    </xf>
    <xf borderId="1" fillId="2" fontId="6" numFmtId="0" xfId="0" applyAlignment="1" applyBorder="1" applyFont="1">
      <alignment vertical="bottom"/>
    </xf>
    <xf borderId="0" fillId="0" fontId="3" numFmtId="0" xfId="0" applyAlignment="1" applyFont="1">
      <alignment vertical="bottom"/>
    </xf>
    <xf borderId="9" fillId="3" fontId="8" numFmtId="0" xfId="0" applyAlignment="1" applyBorder="1" applyFill="1" applyFont="1">
      <alignment horizontal="center" readingOrder="0" vertical="center"/>
    </xf>
    <xf borderId="9" fillId="3" fontId="9" numFmtId="0" xfId="0" applyAlignment="1" applyBorder="1" applyFont="1">
      <alignment horizontal="center" readingOrder="0" vertical="center"/>
    </xf>
    <xf borderId="9" fillId="3" fontId="8" numFmtId="164" xfId="0" applyAlignment="1" applyBorder="1" applyFont="1" applyNumberFormat="1">
      <alignment horizontal="center" readingOrder="0" vertical="center"/>
    </xf>
    <xf borderId="9" fillId="3" fontId="8" numFmtId="17" xfId="0" applyAlignment="1" applyBorder="1" applyFont="1" applyNumberFormat="1">
      <alignment horizontal="center" readingOrder="0" vertical="center"/>
    </xf>
    <xf borderId="9" fillId="3" fontId="8" numFmtId="17" xfId="0" applyAlignment="1" applyBorder="1" applyFont="1" applyNumberFormat="1">
      <alignment horizontal="center" vertical="center"/>
    </xf>
    <xf borderId="9" fillId="0" fontId="10" numFmtId="0" xfId="0" applyAlignment="1" applyBorder="1" applyFont="1">
      <alignment readingOrder="0" vertical="center"/>
    </xf>
    <xf borderId="9" fillId="0" fontId="10" numFmtId="0" xfId="0" applyAlignment="1" applyBorder="1" applyFont="1">
      <alignment horizontal="center" readingOrder="0" vertical="center"/>
    </xf>
    <xf borderId="9" fillId="0" fontId="10" numFmtId="165" xfId="0" applyAlignment="1" applyBorder="1" applyFont="1" applyNumberFormat="1">
      <alignment horizontal="center" readingOrder="0" vertical="center"/>
    </xf>
    <xf borderId="9" fillId="0" fontId="10" numFmtId="164" xfId="0" applyAlignment="1" applyBorder="1" applyFont="1" applyNumberFormat="1">
      <alignment horizontal="center" vertical="center"/>
    </xf>
    <xf borderId="9" fillId="0" fontId="10" numFmtId="164" xfId="0" applyAlignment="1" applyBorder="1" applyFont="1" applyNumberFormat="1">
      <alignment horizontal="center" readingOrder="0" vertical="center"/>
    </xf>
    <xf borderId="9" fillId="2" fontId="10" numFmtId="164" xfId="0" applyAlignment="1" applyBorder="1" applyFont="1" applyNumberFormat="1">
      <alignment horizontal="center" readingOrder="0" vertical="center"/>
    </xf>
    <xf borderId="9" fillId="2" fontId="10" numFmtId="164" xfId="0" applyAlignment="1" applyBorder="1" applyFont="1" applyNumberFormat="1">
      <alignment horizontal="center" vertical="center"/>
    </xf>
    <xf borderId="9" fillId="4" fontId="10" numFmtId="164" xfId="0" applyAlignment="1" applyBorder="1" applyFill="1" applyFont="1" applyNumberFormat="1">
      <alignment horizontal="center" readingOrder="0" vertical="center"/>
    </xf>
    <xf borderId="9" fillId="5" fontId="10" numFmtId="164" xfId="0" applyAlignment="1" applyBorder="1" applyFill="1" applyFont="1" applyNumberFormat="1">
      <alignment horizontal="center" readingOrder="0" vertical="center"/>
    </xf>
    <xf borderId="9" fillId="5" fontId="10" numFmtId="164" xfId="0" applyAlignment="1" applyBorder="1" applyFont="1" applyNumberFormat="1">
      <alignment horizontal="center" vertical="center"/>
    </xf>
    <xf borderId="9" fillId="5" fontId="10" numFmtId="164" xfId="0" applyAlignment="1" applyBorder="1" applyFont="1" applyNumberFormat="1">
      <alignment horizontal="center" readingOrder="0" shrinkToFit="0" vertical="center" wrapText="1"/>
    </xf>
    <xf borderId="9" fillId="5" fontId="10" numFmtId="0" xfId="0" applyAlignment="1" applyBorder="1" applyFont="1">
      <alignment horizontal="center" readingOrder="0" vertical="center"/>
    </xf>
    <xf borderId="9" fillId="5" fontId="10" numFmtId="165" xfId="0" applyAlignment="1" applyBorder="1" applyFont="1" applyNumberFormat="1">
      <alignment horizontal="center" readingOrder="0" vertical="center"/>
    </xf>
    <xf borderId="9" fillId="0" fontId="10" numFmtId="164" xfId="0" applyAlignment="1" applyBorder="1" applyFont="1" applyNumberFormat="1">
      <alignment horizontal="center" shrinkToFit="0" vertical="center" wrapText="1"/>
    </xf>
    <xf borderId="0" fillId="0" fontId="10" numFmtId="0" xfId="0" applyAlignment="1" applyFont="1">
      <alignment vertical="center"/>
    </xf>
    <xf borderId="0" fillId="0" fontId="10" numFmtId="0" xfId="0" applyAlignment="1" applyFont="1">
      <alignment horizontal="center" vertical="center"/>
    </xf>
    <xf borderId="0" fillId="0" fontId="10" numFmtId="164"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3"/>
      <c r="L1" s="3"/>
      <c r="M1" s="3"/>
      <c r="N1" s="3"/>
      <c r="O1" s="3"/>
      <c r="P1" s="3"/>
      <c r="Q1" s="3"/>
      <c r="R1" s="3"/>
      <c r="S1" s="3"/>
      <c r="T1" s="3"/>
      <c r="U1" s="3"/>
      <c r="V1" s="3"/>
      <c r="W1" s="3"/>
      <c r="X1" s="3"/>
      <c r="Y1" s="3"/>
      <c r="Z1" s="3"/>
    </row>
    <row r="2">
      <c r="A2" s="4" t="s">
        <v>1</v>
      </c>
      <c r="B2" s="5"/>
      <c r="C2" s="5"/>
      <c r="D2" s="5"/>
      <c r="E2" s="5"/>
      <c r="F2" s="5"/>
      <c r="G2" s="5"/>
      <c r="H2" s="5"/>
      <c r="I2" s="5"/>
      <c r="J2" s="6"/>
      <c r="K2" s="3"/>
      <c r="L2" s="3"/>
      <c r="M2" s="3"/>
      <c r="N2" s="3"/>
      <c r="O2" s="3"/>
      <c r="P2" s="3"/>
      <c r="Q2" s="3"/>
      <c r="R2" s="3"/>
      <c r="S2" s="3"/>
      <c r="T2" s="3"/>
      <c r="U2" s="3"/>
      <c r="V2" s="3"/>
      <c r="W2" s="3"/>
      <c r="X2" s="3"/>
      <c r="Y2" s="3"/>
      <c r="Z2" s="3"/>
    </row>
    <row r="3">
      <c r="A3" s="7"/>
      <c r="B3" s="7"/>
      <c r="C3" s="7"/>
      <c r="D3" s="7"/>
      <c r="E3" s="7"/>
      <c r="F3" s="7"/>
      <c r="G3" s="7"/>
      <c r="H3" s="7"/>
      <c r="I3" s="7"/>
      <c r="J3" s="7"/>
      <c r="K3" s="3"/>
      <c r="L3" s="3"/>
      <c r="M3" s="3"/>
      <c r="N3" s="3"/>
      <c r="O3" s="3"/>
      <c r="P3" s="3"/>
      <c r="Q3" s="3"/>
      <c r="R3" s="3"/>
      <c r="S3" s="3"/>
      <c r="T3" s="3"/>
      <c r="U3" s="3"/>
      <c r="V3" s="3"/>
      <c r="W3" s="3"/>
      <c r="X3" s="3"/>
      <c r="Y3" s="3"/>
      <c r="Z3" s="3"/>
    </row>
    <row r="4">
      <c r="A4" s="8" t="s">
        <v>2</v>
      </c>
      <c r="B4" s="9"/>
      <c r="C4" s="9"/>
      <c r="D4" s="9"/>
      <c r="E4" s="9"/>
      <c r="F4" s="9"/>
      <c r="G4" s="9"/>
      <c r="H4" s="9"/>
      <c r="I4" s="9"/>
      <c r="J4" s="9"/>
      <c r="K4" s="10"/>
      <c r="L4" s="10"/>
      <c r="M4" s="10"/>
      <c r="N4" s="10"/>
      <c r="O4" s="10"/>
      <c r="P4" s="10"/>
      <c r="Q4" s="10"/>
      <c r="R4" s="10"/>
      <c r="S4" s="10"/>
      <c r="T4" s="10"/>
      <c r="U4" s="10"/>
      <c r="V4" s="3"/>
      <c r="W4" s="3"/>
      <c r="X4" s="3"/>
      <c r="Y4" s="3"/>
      <c r="Z4" s="3"/>
    </row>
    <row r="5">
      <c r="A5" s="11" t="s">
        <v>3</v>
      </c>
      <c r="B5" s="12"/>
      <c r="C5" s="12"/>
      <c r="D5" s="12"/>
      <c r="E5" s="12"/>
      <c r="F5" s="12"/>
      <c r="G5" s="12"/>
      <c r="H5" s="12"/>
      <c r="I5" s="12"/>
      <c r="J5" s="12"/>
      <c r="K5" s="13"/>
      <c r="L5" s="13"/>
      <c r="M5" s="13"/>
      <c r="N5" s="13"/>
      <c r="O5" s="13"/>
      <c r="P5" s="13"/>
      <c r="Q5" s="13"/>
      <c r="R5" s="13"/>
      <c r="S5" s="13"/>
      <c r="T5" s="13"/>
      <c r="U5" s="13"/>
      <c r="V5" s="3"/>
      <c r="W5" s="3"/>
      <c r="X5" s="3"/>
      <c r="Y5" s="3"/>
      <c r="Z5" s="3"/>
    </row>
    <row r="6">
      <c r="A6" s="14" t="s">
        <v>4</v>
      </c>
      <c r="B6" s="7"/>
      <c r="C6" s="7"/>
      <c r="D6" s="7"/>
      <c r="E6" s="7"/>
      <c r="F6" s="7"/>
      <c r="G6" s="7"/>
      <c r="H6" s="7"/>
      <c r="I6" s="7"/>
      <c r="J6" s="7"/>
      <c r="K6" s="3"/>
      <c r="L6" s="3"/>
      <c r="M6" s="3"/>
      <c r="N6" s="3"/>
      <c r="O6" s="3"/>
      <c r="P6" s="3"/>
      <c r="Q6" s="3"/>
      <c r="R6" s="3"/>
      <c r="S6" s="3"/>
      <c r="T6" s="3"/>
      <c r="U6" s="3"/>
      <c r="V6" s="3"/>
      <c r="W6" s="3"/>
      <c r="X6" s="3"/>
      <c r="Y6" s="3"/>
      <c r="Z6" s="3"/>
    </row>
    <row r="7">
      <c r="A7" s="14" t="s">
        <v>5</v>
      </c>
      <c r="B7" s="7"/>
      <c r="C7" s="7"/>
      <c r="D7" s="7"/>
      <c r="E7" s="7"/>
      <c r="F7" s="7"/>
      <c r="G7" s="7"/>
      <c r="H7" s="7"/>
      <c r="I7" s="7"/>
      <c r="J7" s="7"/>
      <c r="K7" s="3"/>
      <c r="L7" s="3"/>
      <c r="M7" s="3"/>
      <c r="N7" s="3"/>
      <c r="O7" s="3"/>
      <c r="P7" s="3"/>
      <c r="Q7" s="3"/>
      <c r="R7" s="3"/>
      <c r="S7" s="3"/>
      <c r="T7" s="3"/>
      <c r="U7" s="3"/>
      <c r="V7" s="3"/>
      <c r="W7" s="3"/>
      <c r="X7" s="3"/>
      <c r="Y7" s="3"/>
      <c r="Z7" s="3"/>
    </row>
    <row r="8" ht="14.25" customHeight="1">
      <c r="A8" s="7"/>
      <c r="B8" s="7"/>
      <c r="C8" s="7"/>
      <c r="D8" s="7"/>
      <c r="E8" s="7"/>
      <c r="F8" s="7"/>
      <c r="G8" s="7"/>
      <c r="H8" s="7"/>
      <c r="I8" s="7"/>
      <c r="J8" s="7"/>
      <c r="K8" s="3"/>
      <c r="L8" s="3"/>
      <c r="M8" s="3"/>
      <c r="N8" s="3"/>
      <c r="O8" s="3"/>
      <c r="P8" s="3"/>
      <c r="Q8" s="3"/>
      <c r="R8" s="3"/>
      <c r="S8" s="3"/>
      <c r="T8" s="3"/>
      <c r="U8" s="3"/>
      <c r="V8" s="3"/>
      <c r="W8" s="3"/>
      <c r="X8" s="3"/>
      <c r="Y8" s="3"/>
      <c r="Z8" s="3"/>
    </row>
    <row r="9">
      <c r="A9" s="8" t="s">
        <v>6</v>
      </c>
      <c r="B9" s="10"/>
      <c r="C9" s="10"/>
      <c r="D9" s="10"/>
      <c r="E9" s="10"/>
      <c r="F9" s="10"/>
      <c r="G9" s="10"/>
      <c r="H9" s="10"/>
      <c r="I9" s="10"/>
      <c r="J9" s="10"/>
      <c r="K9" s="10"/>
      <c r="L9" s="10"/>
      <c r="M9" s="10"/>
      <c r="N9" s="10"/>
      <c r="O9" s="10"/>
      <c r="P9" s="10"/>
      <c r="Q9" s="10"/>
      <c r="R9" s="10"/>
      <c r="S9" s="10"/>
      <c r="T9" s="10"/>
      <c r="U9" s="10"/>
      <c r="V9" s="3"/>
      <c r="W9" s="3"/>
      <c r="X9" s="3"/>
      <c r="Y9" s="3"/>
      <c r="Z9" s="3"/>
    </row>
    <row r="10">
      <c r="A10" s="11" t="s">
        <v>7</v>
      </c>
      <c r="B10" s="13"/>
      <c r="C10" s="13"/>
      <c r="D10" s="13"/>
      <c r="E10" s="13"/>
      <c r="F10" s="13"/>
      <c r="G10" s="13"/>
      <c r="H10" s="13"/>
      <c r="I10" s="13"/>
      <c r="J10" s="13"/>
      <c r="K10" s="13"/>
      <c r="L10" s="13"/>
      <c r="M10" s="13"/>
      <c r="N10" s="13"/>
      <c r="O10" s="13"/>
      <c r="P10" s="13"/>
      <c r="Q10" s="13"/>
      <c r="R10" s="13"/>
      <c r="S10" s="13"/>
      <c r="T10" s="13"/>
      <c r="U10" s="13"/>
      <c r="V10" s="3"/>
      <c r="W10" s="3"/>
      <c r="X10" s="3"/>
      <c r="Y10" s="3"/>
      <c r="Z10" s="3"/>
    </row>
    <row r="11">
      <c r="A11" s="14" t="s">
        <v>8</v>
      </c>
      <c r="B11" s="3"/>
      <c r="C11" s="3"/>
      <c r="D11" s="3"/>
      <c r="E11" s="3"/>
      <c r="F11" s="3"/>
      <c r="G11" s="3"/>
      <c r="H11" s="3"/>
      <c r="I11" s="3"/>
      <c r="J11" s="3"/>
      <c r="K11" s="3"/>
      <c r="L11" s="3"/>
      <c r="M11" s="3"/>
      <c r="N11" s="3"/>
      <c r="O11" s="3"/>
      <c r="P11" s="3"/>
      <c r="Q11" s="3"/>
      <c r="R11" s="3"/>
      <c r="S11" s="3"/>
      <c r="T11" s="3"/>
      <c r="U11" s="3"/>
      <c r="V11" s="3"/>
      <c r="W11" s="3"/>
      <c r="X11" s="3"/>
      <c r="Y11" s="3"/>
      <c r="Z11" s="3"/>
    </row>
    <row r="12">
      <c r="A12" s="14" t="s">
        <v>9</v>
      </c>
      <c r="B12" s="3"/>
      <c r="C12" s="3"/>
      <c r="D12" s="3"/>
      <c r="E12" s="3"/>
      <c r="F12" s="3"/>
      <c r="G12" s="3"/>
      <c r="H12" s="3"/>
      <c r="I12" s="3"/>
      <c r="J12" s="3"/>
      <c r="K12" s="3"/>
      <c r="L12" s="3"/>
      <c r="M12" s="3"/>
      <c r="N12" s="3"/>
      <c r="O12" s="3"/>
      <c r="P12" s="3"/>
      <c r="Q12" s="3"/>
      <c r="R12" s="3"/>
      <c r="S12" s="3"/>
      <c r="T12" s="3"/>
      <c r="U12" s="3"/>
      <c r="V12" s="3"/>
      <c r="W12" s="3"/>
      <c r="X12" s="3"/>
      <c r="Y12" s="3"/>
      <c r="Z12" s="3"/>
    </row>
    <row r="13">
      <c r="A13" s="14" t="s">
        <v>10</v>
      </c>
      <c r="B13" s="3"/>
      <c r="C13" s="3"/>
      <c r="D13" s="3"/>
      <c r="E13" s="3"/>
      <c r="F13" s="3"/>
      <c r="G13" s="3"/>
      <c r="H13" s="3"/>
      <c r="I13" s="3"/>
      <c r="J13" s="3"/>
      <c r="K13" s="3"/>
      <c r="L13" s="3"/>
      <c r="M13" s="3"/>
      <c r="N13" s="3"/>
      <c r="O13" s="3"/>
      <c r="P13" s="3"/>
      <c r="Q13" s="3"/>
      <c r="R13" s="3"/>
      <c r="S13" s="3"/>
      <c r="T13" s="3"/>
      <c r="U13" s="3"/>
      <c r="V13" s="3"/>
      <c r="W13" s="3"/>
      <c r="X13" s="3"/>
      <c r="Y13" s="3"/>
      <c r="Z13" s="3"/>
    </row>
    <row r="14">
      <c r="A14" s="7"/>
      <c r="B14" s="3"/>
      <c r="C14" s="3"/>
      <c r="D14" s="3"/>
      <c r="E14" s="3"/>
      <c r="F14" s="3"/>
      <c r="G14" s="3"/>
      <c r="H14" s="3"/>
      <c r="I14" s="3"/>
      <c r="J14" s="3"/>
      <c r="K14" s="3"/>
      <c r="L14" s="3"/>
      <c r="M14" s="3"/>
      <c r="N14" s="3"/>
      <c r="O14" s="3"/>
      <c r="P14" s="3"/>
      <c r="Q14" s="3"/>
      <c r="R14" s="3"/>
      <c r="S14" s="3"/>
      <c r="T14" s="3"/>
      <c r="U14" s="3"/>
      <c r="V14" s="3"/>
      <c r="W14" s="3"/>
      <c r="X14" s="3"/>
      <c r="Y14" s="3"/>
      <c r="Z14" s="3"/>
    </row>
    <row r="15">
      <c r="A15" s="8" t="s">
        <v>11</v>
      </c>
      <c r="B15" s="10"/>
      <c r="C15" s="10"/>
      <c r="D15" s="10"/>
      <c r="E15" s="10"/>
      <c r="F15" s="10"/>
      <c r="G15" s="10"/>
      <c r="H15" s="10"/>
      <c r="I15" s="10"/>
      <c r="J15" s="10"/>
      <c r="K15" s="10"/>
      <c r="L15" s="10"/>
      <c r="M15" s="10"/>
      <c r="N15" s="10"/>
      <c r="O15" s="10"/>
      <c r="P15" s="10"/>
      <c r="Q15" s="10"/>
      <c r="R15" s="10"/>
      <c r="S15" s="10"/>
      <c r="T15" s="10"/>
      <c r="U15" s="10"/>
      <c r="V15" s="3"/>
      <c r="W15" s="3"/>
      <c r="X15" s="3"/>
      <c r="Y15" s="3"/>
      <c r="Z15" s="3"/>
    </row>
    <row r="16">
      <c r="A16" s="14" t="s">
        <v>12</v>
      </c>
      <c r="B16" s="3"/>
      <c r="C16" s="3"/>
      <c r="D16" s="3"/>
      <c r="E16" s="3"/>
      <c r="F16" s="3"/>
      <c r="G16" s="3"/>
      <c r="H16" s="3"/>
      <c r="I16" s="3"/>
      <c r="J16" s="3"/>
      <c r="K16" s="3"/>
      <c r="L16" s="3"/>
      <c r="M16" s="3"/>
      <c r="N16" s="13"/>
      <c r="O16" s="13"/>
      <c r="P16" s="13"/>
      <c r="Q16" s="13"/>
      <c r="R16" s="13"/>
      <c r="S16" s="13"/>
      <c r="T16" s="13"/>
      <c r="U16" s="13"/>
      <c r="V16" s="3"/>
      <c r="W16" s="3"/>
      <c r="X16" s="3"/>
      <c r="Y16" s="3"/>
      <c r="Z16" s="3"/>
    </row>
    <row r="17">
      <c r="A17" s="14" t="s">
        <v>13</v>
      </c>
      <c r="B17" s="3"/>
      <c r="C17" s="3"/>
      <c r="D17" s="3"/>
      <c r="E17" s="3"/>
      <c r="F17" s="3"/>
      <c r="G17" s="3"/>
      <c r="H17" s="3"/>
      <c r="I17" s="3"/>
      <c r="J17" s="3"/>
      <c r="K17" s="3"/>
      <c r="L17" s="3"/>
      <c r="M17" s="3"/>
      <c r="N17" s="3"/>
      <c r="O17" s="3"/>
      <c r="P17" s="3"/>
      <c r="Q17" s="3"/>
      <c r="R17" s="3"/>
      <c r="S17" s="3"/>
      <c r="T17" s="3"/>
      <c r="U17" s="3"/>
      <c r="V17" s="3"/>
      <c r="W17" s="3"/>
      <c r="X17" s="3"/>
      <c r="Y17" s="3"/>
      <c r="Z17" s="3"/>
    </row>
    <row r="18">
      <c r="A18" s="7"/>
      <c r="B18" s="3"/>
      <c r="C18" s="3"/>
      <c r="D18" s="3"/>
      <c r="E18" s="3"/>
      <c r="F18" s="3"/>
      <c r="G18" s="3"/>
      <c r="H18" s="3"/>
      <c r="I18" s="3"/>
      <c r="J18" s="3"/>
      <c r="K18" s="3"/>
      <c r="L18" s="3"/>
      <c r="M18" s="3"/>
      <c r="N18" s="3"/>
      <c r="O18" s="3"/>
      <c r="P18" s="3"/>
      <c r="Q18" s="3"/>
      <c r="R18" s="3"/>
      <c r="S18" s="3"/>
      <c r="T18" s="3"/>
      <c r="U18" s="3"/>
      <c r="V18" s="3"/>
      <c r="W18" s="3"/>
      <c r="X18" s="3"/>
      <c r="Y18" s="3"/>
      <c r="Z18" s="3"/>
    </row>
    <row r="19">
      <c r="A19" s="8" t="s">
        <v>14</v>
      </c>
      <c r="B19" s="10"/>
      <c r="C19" s="10"/>
      <c r="D19" s="10"/>
      <c r="E19" s="10"/>
      <c r="F19" s="10"/>
      <c r="G19" s="10"/>
      <c r="H19" s="10"/>
      <c r="I19" s="10"/>
      <c r="J19" s="10"/>
      <c r="K19" s="10"/>
      <c r="L19" s="10"/>
      <c r="M19" s="10"/>
      <c r="N19" s="10"/>
      <c r="O19" s="10"/>
      <c r="P19" s="10"/>
      <c r="Q19" s="10"/>
      <c r="R19" s="10"/>
      <c r="S19" s="10"/>
      <c r="T19" s="10"/>
      <c r="U19" s="10"/>
      <c r="V19" s="3"/>
      <c r="W19" s="3"/>
      <c r="X19" s="3"/>
      <c r="Y19" s="3"/>
      <c r="Z19" s="3"/>
    </row>
    <row r="20">
      <c r="A20" s="15" t="s">
        <v>15</v>
      </c>
      <c r="P20" s="16"/>
      <c r="Q20" s="16"/>
      <c r="R20" s="16"/>
      <c r="S20" s="17"/>
      <c r="T20" s="13"/>
      <c r="U20" s="13"/>
      <c r="V20" s="3"/>
      <c r="W20" s="3"/>
      <c r="X20" s="3"/>
      <c r="Y20" s="3"/>
      <c r="Z20" s="3"/>
    </row>
    <row r="21">
      <c r="A21" s="18"/>
      <c r="B21" s="3"/>
      <c r="C21" s="3"/>
      <c r="D21" s="3"/>
      <c r="E21" s="3"/>
      <c r="F21" s="3"/>
      <c r="G21" s="3"/>
      <c r="H21" s="3"/>
      <c r="I21" s="3"/>
      <c r="J21" s="3"/>
      <c r="K21" s="3"/>
      <c r="L21" s="3"/>
      <c r="M21" s="3"/>
      <c r="N21" s="3"/>
      <c r="O21" s="3"/>
      <c r="P21" s="3"/>
      <c r="Q21" s="3"/>
      <c r="R21" s="3"/>
      <c r="S21" s="3"/>
      <c r="T21" s="3"/>
      <c r="U21" s="3"/>
      <c r="V21" s="3"/>
      <c r="W21" s="3"/>
      <c r="X21" s="3"/>
      <c r="Y21" s="3"/>
      <c r="Z21" s="3"/>
    </row>
    <row r="22">
      <c r="A22" s="19" t="s">
        <v>16</v>
      </c>
      <c r="B22" s="10"/>
      <c r="C22" s="10"/>
      <c r="D22" s="10"/>
      <c r="E22" s="10"/>
      <c r="F22" s="10"/>
      <c r="G22" s="10"/>
      <c r="H22" s="10"/>
      <c r="I22" s="10"/>
      <c r="J22" s="10"/>
      <c r="K22" s="10"/>
      <c r="L22" s="10"/>
      <c r="M22" s="10"/>
      <c r="N22" s="10"/>
      <c r="O22" s="10"/>
      <c r="P22" s="10"/>
      <c r="Q22" s="10"/>
      <c r="R22" s="10"/>
      <c r="S22" s="10"/>
      <c r="T22" s="10"/>
      <c r="U22" s="10"/>
      <c r="V22" s="20"/>
      <c r="W22" s="20"/>
      <c r="X22" s="20"/>
      <c r="Y22" s="20"/>
      <c r="Z22" s="20"/>
    </row>
    <row r="23">
      <c r="A23" s="21" t="s">
        <v>17</v>
      </c>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1" t="s">
        <v>18</v>
      </c>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1" t="s">
        <v>19</v>
      </c>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1" t="s">
        <v>20</v>
      </c>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1" t="s">
        <v>21</v>
      </c>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22"/>
      <c r="B998" s="22"/>
      <c r="C998" s="22"/>
      <c r="D998" s="22"/>
      <c r="E998" s="22"/>
      <c r="F998" s="22"/>
      <c r="G998" s="22"/>
      <c r="H998" s="22"/>
      <c r="I998" s="22"/>
      <c r="J998" s="22"/>
      <c r="K998" s="22"/>
      <c r="L998" s="22"/>
      <c r="M998" s="22"/>
      <c r="N998" s="22"/>
      <c r="O998" s="22"/>
      <c r="P998" s="22"/>
      <c r="Q998" s="22"/>
      <c r="R998" s="22"/>
      <c r="S998" s="22"/>
      <c r="T998" s="22"/>
      <c r="U998" s="22"/>
      <c r="V998" s="3"/>
      <c r="W998" s="3"/>
      <c r="X998" s="3"/>
      <c r="Y998" s="3"/>
      <c r="Z998" s="3"/>
    </row>
    <row r="999">
      <c r="A999" s="22"/>
      <c r="B999" s="22"/>
      <c r="C999" s="22"/>
      <c r="D999" s="22"/>
      <c r="E999" s="22"/>
      <c r="F999" s="22"/>
      <c r="G999" s="22"/>
      <c r="H999" s="22"/>
      <c r="I999" s="22"/>
      <c r="J999" s="22"/>
      <c r="K999" s="22"/>
      <c r="L999" s="22"/>
      <c r="M999" s="22"/>
      <c r="N999" s="22"/>
      <c r="O999" s="22"/>
      <c r="P999" s="22"/>
      <c r="Q999" s="22"/>
      <c r="R999" s="22"/>
      <c r="S999" s="22"/>
      <c r="T999" s="22"/>
      <c r="U999" s="22"/>
      <c r="V999" s="3"/>
      <c r="W999" s="3"/>
      <c r="X999" s="3"/>
      <c r="Y999" s="3"/>
      <c r="Z999" s="3"/>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3"/>
      <c r="W1000" s="3"/>
      <c r="X1000" s="3"/>
      <c r="Y1000" s="3"/>
      <c r="Z1000" s="3"/>
    </row>
  </sheetData>
  <mergeCells count="2">
    <mergeCell ref="A2:J2"/>
    <mergeCell ref="A20:O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cols>
    <col customWidth="1" min="1" max="1" width="31.0"/>
    <col customWidth="1" min="2" max="2" width="25.0"/>
    <col customWidth="1" min="3" max="4" width="10.75"/>
    <col customWidth="1" min="5" max="5" width="35.13"/>
    <col customWidth="1" min="6" max="6" width="13.88"/>
    <col customWidth="1" min="7" max="7" width="13.38"/>
    <col customWidth="1" min="9" max="9" width="15.63"/>
  </cols>
  <sheetData>
    <row r="1" ht="29.25" customHeight="1">
      <c r="A1" s="23" t="s">
        <v>22</v>
      </c>
      <c r="B1" s="23" t="s">
        <v>23</v>
      </c>
      <c r="C1" s="23" t="s">
        <v>24</v>
      </c>
      <c r="D1" s="23" t="s">
        <v>25</v>
      </c>
      <c r="E1" s="24" t="s">
        <v>26</v>
      </c>
      <c r="F1" s="23" t="s">
        <v>27</v>
      </c>
      <c r="G1" s="23" t="s">
        <v>28</v>
      </c>
      <c r="H1" s="23" t="s">
        <v>29</v>
      </c>
      <c r="I1" s="25" t="s">
        <v>30</v>
      </c>
      <c r="J1" s="26">
        <v>45682.0</v>
      </c>
      <c r="K1" s="26">
        <v>45713.0</v>
      </c>
      <c r="L1" s="26">
        <v>45741.0</v>
      </c>
      <c r="M1" s="26">
        <v>45772.0</v>
      </c>
      <c r="N1" s="26">
        <v>45802.0</v>
      </c>
      <c r="O1" s="26">
        <v>45833.0</v>
      </c>
      <c r="P1" s="26">
        <v>45863.0</v>
      </c>
      <c r="Q1" s="26">
        <v>45894.0</v>
      </c>
      <c r="R1" s="26">
        <v>45925.0</v>
      </c>
      <c r="S1" s="26">
        <v>45955.0</v>
      </c>
      <c r="T1" s="26">
        <v>45986.0</v>
      </c>
      <c r="U1" s="26">
        <v>46016.0</v>
      </c>
      <c r="V1" s="26">
        <v>46048.0</v>
      </c>
      <c r="W1" s="26">
        <v>46079.0</v>
      </c>
      <c r="X1" s="26">
        <v>46107.0</v>
      </c>
      <c r="Y1" s="26">
        <v>46138.0</v>
      </c>
      <c r="Z1" s="26">
        <v>46168.0</v>
      </c>
      <c r="AA1" s="26">
        <v>46199.0</v>
      </c>
      <c r="AB1" s="26">
        <v>46229.0</v>
      </c>
      <c r="AC1" s="26">
        <v>46260.0</v>
      </c>
      <c r="AD1" s="26">
        <v>46291.0</v>
      </c>
      <c r="AE1" s="26">
        <v>46321.0</v>
      </c>
      <c r="AF1" s="26">
        <v>46352.0</v>
      </c>
      <c r="AG1" s="26">
        <v>46382.0</v>
      </c>
      <c r="AH1" s="27">
        <v>46388.0</v>
      </c>
      <c r="AI1" s="27">
        <v>46420.0</v>
      </c>
      <c r="AJ1" s="27">
        <v>46449.0</v>
      </c>
      <c r="AK1" s="27">
        <v>46481.0</v>
      </c>
      <c r="AL1" s="27">
        <v>46512.0</v>
      </c>
      <c r="AM1" s="27">
        <v>46544.0</v>
      </c>
      <c r="AN1" s="27">
        <v>46575.0</v>
      </c>
      <c r="AO1" s="27">
        <v>46606.0</v>
      </c>
      <c r="AP1" s="27">
        <v>46639.0</v>
      </c>
      <c r="AQ1" s="27">
        <v>46670.0</v>
      </c>
      <c r="AR1" s="27">
        <v>46702.0</v>
      </c>
      <c r="AS1" s="27">
        <v>46733.0</v>
      </c>
      <c r="AT1" s="27">
        <v>46753.0</v>
      </c>
      <c r="AU1" s="27">
        <v>46785.0</v>
      </c>
      <c r="AV1" s="27">
        <v>46815.0</v>
      </c>
      <c r="AW1" s="27">
        <v>46847.0</v>
      </c>
      <c r="AX1" s="27">
        <v>46878.0</v>
      </c>
      <c r="AY1" s="27">
        <v>46910.0</v>
      </c>
      <c r="AZ1" s="27">
        <v>46941.0</v>
      </c>
      <c r="BA1" s="27">
        <v>46972.0</v>
      </c>
      <c r="BB1" s="27">
        <v>47005.0</v>
      </c>
      <c r="BC1" s="27">
        <v>47036.0</v>
      </c>
      <c r="BD1" s="27">
        <v>47068.0</v>
      </c>
      <c r="BE1" s="27">
        <v>47099.0</v>
      </c>
    </row>
    <row r="2">
      <c r="A2" s="28" t="s">
        <v>31</v>
      </c>
      <c r="B2" s="29" t="s">
        <v>32</v>
      </c>
      <c r="C2" s="29">
        <v>3.5259896E7</v>
      </c>
      <c r="D2" s="29">
        <v>1203620.0</v>
      </c>
      <c r="E2" s="28" t="s">
        <v>33</v>
      </c>
      <c r="F2" s="30">
        <v>44652.0</v>
      </c>
      <c r="G2" s="30">
        <v>46081.0</v>
      </c>
      <c r="H2" s="29" t="s">
        <v>34</v>
      </c>
      <c r="I2" s="31">
        <f>550000*6</f>
        <v>3300000</v>
      </c>
      <c r="J2" s="32">
        <v>450000.0</v>
      </c>
      <c r="K2" s="32">
        <v>450000.0</v>
      </c>
      <c r="L2" s="32">
        <v>450000.0</v>
      </c>
      <c r="M2" s="32">
        <v>450000.0</v>
      </c>
      <c r="N2" s="32">
        <v>450000.0</v>
      </c>
      <c r="O2" s="32">
        <v>450000.0</v>
      </c>
      <c r="P2" s="32">
        <v>450000.0</v>
      </c>
      <c r="Q2" s="32">
        <v>478333.33</v>
      </c>
      <c r="R2" s="32">
        <v>500000.0</v>
      </c>
      <c r="S2" s="32">
        <v>500000.0</v>
      </c>
      <c r="T2" s="32">
        <v>550000.0</v>
      </c>
      <c r="U2" s="32">
        <v>550000.0</v>
      </c>
      <c r="V2" s="32">
        <v>550000.0</v>
      </c>
      <c r="W2" s="32">
        <v>550000.0</v>
      </c>
      <c r="X2" s="32">
        <v>0.0</v>
      </c>
      <c r="Y2" s="32">
        <v>0.0</v>
      </c>
      <c r="Z2" s="32">
        <v>0.0</v>
      </c>
      <c r="AA2" s="32">
        <v>0.0</v>
      </c>
      <c r="AB2" s="32">
        <v>0.0</v>
      </c>
      <c r="AC2" s="32">
        <v>0.0</v>
      </c>
      <c r="AD2" s="32">
        <v>0.0</v>
      </c>
      <c r="AE2" s="32">
        <v>0.0</v>
      </c>
      <c r="AF2" s="32">
        <v>0.0</v>
      </c>
      <c r="AG2" s="32">
        <v>0.0</v>
      </c>
      <c r="AH2" s="33"/>
      <c r="AI2" s="33"/>
      <c r="AJ2" s="33"/>
      <c r="AK2" s="33"/>
      <c r="AL2" s="33"/>
      <c r="AM2" s="33"/>
      <c r="AN2" s="33"/>
      <c r="AO2" s="33"/>
      <c r="AP2" s="33"/>
      <c r="AQ2" s="33"/>
      <c r="AR2" s="33"/>
      <c r="AS2" s="33"/>
      <c r="AT2" s="33"/>
      <c r="AU2" s="33"/>
      <c r="AV2" s="33"/>
      <c r="AW2" s="33"/>
      <c r="AX2" s="33"/>
      <c r="AY2" s="33"/>
      <c r="AZ2" s="33"/>
      <c r="BA2" s="33"/>
      <c r="BB2" s="33"/>
      <c r="BC2" s="33"/>
      <c r="BD2" s="33"/>
      <c r="BE2" s="33"/>
    </row>
    <row r="3">
      <c r="A3" s="28" t="s">
        <v>35</v>
      </c>
      <c r="B3" s="29" t="s">
        <v>36</v>
      </c>
      <c r="C3" s="29">
        <v>3.5915455E7</v>
      </c>
      <c r="D3" s="29">
        <v>1204776.0</v>
      </c>
      <c r="E3" s="28" t="s">
        <v>33</v>
      </c>
      <c r="F3" s="30">
        <v>45173.0</v>
      </c>
      <c r="G3" s="30">
        <v>45994.0</v>
      </c>
      <c r="H3" s="29" t="s">
        <v>37</v>
      </c>
      <c r="I3" s="31">
        <f>700000*6</f>
        <v>4200000</v>
      </c>
      <c r="J3" s="32">
        <v>630000.0</v>
      </c>
      <c r="K3" s="32">
        <v>630000.0</v>
      </c>
      <c r="L3" s="32">
        <v>700000.0</v>
      </c>
      <c r="M3" s="32">
        <v>700000.0</v>
      </c>
      <c r="N3" s="32">
        <v>700000.0</v>
      </c>
      <c r="O3" s="32">
        <v>700000.0</v>
      </c>
      <c r="P3" s="32">
        <v>700000.0</v>
      </c>
      <c r="Q3" s="32">
        <v>742000.0</v>
      </c>
      <c r="R3" s="32">
        <v>770000.0</v>
      </c>
      <c r="S3" s="32">
        <v>770000.0</v>
      </c>
      <c r="T3" s="32">
        <v>850000.0</v>
      </c>
      <c r="U3" s="32">
        <v>113333.33</v>
      </c>
      <c r="V3" s="32"/>
      <c r="W3" s="32"/>
      <c r="X3" s="32"/>
      <c r="Y3" s="32"/>
      <c r="Z3" s="32"/>
      <c r="AA3" s="31"/>
      <c r="AB3" s="31"/>
      <c r="AC3" s="31"/>
      <c r="AD3" s="31"/>
      <c r="AE3" s="31"/>
      <c r="AF3" s="31"/>
      <c r="AG3" s="31"/>
      <c r="AH3" s="34"/>
      <c r="AI3" s="34"/>
      <c r="AJ3" s="34"/>
      <c r="AK3" s="34"/>
      <c r="AL3" s="34"/>
      <c r="AM3" s="34"/>
      <c r="AN3" s="34"/>
      <c r="AO3" s="34"/>
      <c r="AP3" s="34"/>
      <c r="AQ3" s="34"/>
      <c r="AR3" s="34"/>
      <c r="AS3" s="34"/>
      <c r="AT3" s="34"/>
      <c r="AU3" s="34"/>
      <c r="AV3" s="34"/>
      <c r="AW3" s="34"/>
      <c r="AX3" s="34"/>
      <c r="AY3" s="34"/>
      <c r="AZ3" s="34"/>
      <c r="BA3" s="34"/>
      <c r="BB3" s="34"/>
      <c r="BC3" s="34"/>
      <c r="BD3" s="34"/>
      <c r="BE3" s="34"/>
    </row>
    <row r="4">
      <c r="A4" s="28" t="s">
        <v>35</v>
      </c>
      <c r="B4" s="29" t="s">
        <v>36</v>
      </c>
      <c r="C4" s="29">
        <v>3.5915455E7</v>
      </c>
      <c r="D4" s="29">
        <v>1204776.0</v>
      </c>
      <c r="E4" s="28" t="s">
        <v>33</v>
      </c>
      <c r="F4" s="30">
        <v>45995.0</v>
      </c>
      <c r="G4" s="30">
        <v>46173.0</v>
      </c>
      <c r="H4" s="29" t="s">
        <v>38</v>
      </c>
      <c r="I4" s="31">
        <f>4986666.67</f>
        <v>4986666.67</v>
      </c>
      <c r="J4" s="32"/>
      <c r="K4" s="32"/>
      <c r="L4" s="32"/>
      <c r="M4" s="31"/>
      <c r="N4" s="32"/>
      <c r="O4" s="32"/>
      <c r="P4" s="32"/>
      <c r="Q4" s="32"/>
      <c r="R4" s="32"/>
      <c r="S4" s="32"/>
      <c r="T4" s="32"/>
      <c r="U4" s="32"/>
      <c r="V4" s="32">
        <v>736666.67</v>
      </c>
      <c r="W4" s="32">
        <v>850000.0</v>
      </c>
      <c r="X4" s="32">
        <v>850000.0</v>
      </c>
      <c r="Y4" s="32">
        <v>1000000.0</v>
      </c>
      <c r="Z4" s="32">
        <v>1000000.0</v>
      </c>
      <c r="AA4" s="32"/>
      <c r="AB4" s="32"/>
      <c r="AC4" s="32"/>
      <c r="AD4" s="32"/>
      <c r="AE4" s="32"/>
      <c r="AF4" s="32"/>
      <c r="AG4" s="32"/>
      <c r="AH4" s="33"/>
      <c r="AI4" s="33"/>
      <c r="AJ4" s="33"/>
      <c r="AK4" s="33"/>
      <c r="AL4" s="33"/>
      <c r="AM4" s="33"/>
      <c r="AN4" s="33"/>
      <c r="AO4" s="33"/>
      <c r="AP4" s="33"/>
      <c r="AQ4" s="33"/>
      <c r="AR4" s="33"/>
      <c r="AS4" s="33"/>
      <c r="AT4" s="33"/>
      <c r="AU4" s="33"/>
      <c r="AV4" s="33"/>
      <c r="AW4" s="33"/>
      <c r="AX4" s="33"/>
      <c r="AY4" s="33"/>
      <c r="AZ4" s="33"/>
      <c r="BA4" s="33"/>
      <c r="BB4" s="33"/>
      <c r="BC4" s="33"/>
      <c r="BD4" s="33"/>
      <c r="BE4" s="33"/>
    </row>
    <row r="5">
      <c r="A5" s="28" t="s">
        <v>35</v>
      </c>
      <c r="B5" s="29" t="s">
        <v>36</v>
      </c>
      <c r="C5" s="29">
        <v>3.5915455E7</v>
      </c>
      <c r="D5" s="29">
        <v>1204776.0</v>
      </c>
      <c r="E5" s="28" t="s">
        <v>33</v>
      </c>
      <c r="F5" s="30">
        <v>46174.0</v>
      </c>
      <c r="G5" s="30">
        <v>46387.0</v>
      </c>
      <c r="H5" s="29" t="s">
        <v>39</v>
      </c>
      <c r="I5" s="32">
        <v>7000000.0</v>
      </c>
      <c r="J5" s="32"/>
      <c r="K5" s="32"/>
      <c r="L5" s="32"/>
      <c r="M5" s="31"/>
      <c r="N5" s="32"/>
      <c r="O5" s="32"/>
      <c r="P5" s="32"/>
      <c r="Q5" s="32"/>
      <c r="R5" s="32"/>
      <c r="S5" s="32"/>
      <c r="T5" s="32"/>
      <c r="U5" s="32"/>
      <c r="V5" s="32"/>
      <c r="W5" s="32"/>
      <c r="X5" s="32"/>
      <c r="Y5" s="32"/>
      <c r="Z5" s="32"/>
      <c r="AA5" s="35">
        <v>1000000.0</v>
      </c>
      <c r="AB5" s="35">
        <v>1000000.0</v>
      </c>
      <c r="AC5" s="35">
        <v>1000000.0</v>
      </c>
      <c r="AD5" s="35">
        <v>1000000.0</v>
      </c>
      <c r="AE5" s="35">
        <v>1000000.0</v>
      </c>
      <c r="AF5" s="35">
        <v>1000000.0</v>
      </c>
      <c r="AG5" s="35">
        <v>1000000.0</v>
      </c>
      <c r="AH5" s="33"/>
      <c r="AI5" s="33"/>
      <c r="AJ5" s="33"/>
      <c r="AK5" s="33"/>
      <c r="AL5" s="33"/>
      <c r="AM5" s="33"/>
      <c r="AN5" s="33"/>
      <c r="AO5" s="33"/>
      <c r="AP5" s="33"/>
      <c r="AQ5" s="33"/>
      <c r="AR5" s="33"/>
      <c r="AS5" s="33"/>
      <c r="AT5" s="33"/>
      <c r="AU5" s="33"/>
      <c r="AV5" s="33"/>
      <c r="AW5" s="33"/>
      <c r="AX5" s="33"/>
      <c r="AY5" s="33"/>
      <c r="AZ5" s="33"/>
      <c r="BA5" s="33"/>
      <c r="BB5" s="33"/>
      <c r="BC5" s="33"/>
      <c r="BD5" s="33"/>
      <c r="BE5" s="33"/>
    </row>
    <row r="6">
      <c r="A6" s="28" t="s">
        <v>40</v>
      </c>
      <c r="B6" s="29" t="s">
        <v>36</v>
      </c>
      <c r="C6" s="29">
        <v>3.7295801E7</v>
      </c>
      <c r="D6" s="29">
        <v>1204881.0</v>
      </c>
      <c r="E6" s="28" t="s">
        <v>41</v>
      </c>
      <c r="F6" s="30">
        <v>45586.0</v>
      </c>
      <c r="G6" s="30">
        <v>46133.0</v>
      </c>
      <c r="H6" s="29" t="s">
        <v>42</v>
      </c>
      <c r="I6" s="31">
        <f>6*770000</f>
        <v>4620000</v>
      </c>
      <c r="J6" s="32">
        <v>630000.0</v>
      </c>
      <c r="K6" s="32">
        <v>630000.0</v>
      </c>
      <c r="L6" s="32">
        <v>700000.0</v>
      </c>
      <c r="M6" s="31">
        <f>490000+210000</f>
        <v>700000</v>
      </c>
      <c r="N6" s="32">
        <v>700000.0</v>
      </c>
      <c r="O6" s="32">
        <v>700000.0</v>
      </c>
      <c r="P6" s="32">
        <v>700000.0</v>
      </c>
      <c r="Q6" s="32">
        <v>742000.0</v>
      </c>
      <c r="R6" s="32">
        <v>770000.0</v>
      </c>
      <c r="S6" s="32">
        <v>770000.0</v>
      </c>
      <c r="T6" s="32">
        <v>850000.0</v>
      </c>
      <c r="U6" s="32">
        <v>850000.0</v>
      </c>
      <c r="V6" s="32">
        <v>850000.0</v>
      </c>
      <c r="W6" s="32">
        <v>850000.0</v>
      </c>
      <c r="X6" s="32">
        <v>850000.0</v>
      </c>
      <c r="Y6" s="32">
        <f>(850000/30*20)+105000</f>
        <v>671666.6667</v>
      </c>
      <c r="Z6" s="32"/>
      <c r="AA6" s="32"/>
      <c r="AB6" s="32"/>
      <c r="AC6" s="32"/>
      <c r="AD6" s="32"/>
      <c r="AE6" s="32"/>
      <c r="AF6" s="32"/>
      <c r="AG6" s="32"/>
      <c r="AH6" s="33"/>
      <c r="AI6" s="33"/>
      <c r="AJ6" s="33"/>
      <c r="AK6" s="33"/>
      <c r="AL6" s="33"/>
      <c r="AM6" s="33"/>
      <c r="AN6" s="33"/>
      <c r="AO6" s="33"/>
      <c r="AP6" s="33"/>
      <c r="AQ6" s="33"/>
      <c r="AR6" s="33"/>
      <c r="AS6" s="33"/>
      <c r="AT6" s="33"/>
      <c r="AU6" s="33"/>
      <c r="AV6" s="33"/>
      <c r="AW6" s="33"/>
      <c r="AX6" s="33"/>
      <c r="AY6" s="33"/>
      <c r="AZ6" s="33"/>
      <c r="BA6" s="33"/>
      <c r="BB6" s="33"/>
      <c r="BC6" s="33"/>
      <c r="BD6" s="33"/>
      <c r="BE6" s="33"/>
    </row>
    <row r="7">
      <c r="A7" s="28" t="s">
        <v>40</v>
      </c>
      <c r="B7" s="29" t="s">
        <v>36</v>
      </c>
      <c r="C7" s="29">
        <v>3.7295801E7</v>
      </c>
      <c r="D7" s="29">
        <v>1204881.0</v>
      </c>
      <c r="E7" s="28" t="s">
        <v>43</v>
      </c>
      <c r="F7" s="30">
        <v>46133.0</v>
      </c>
      <c r="G7" s="30">
        <v>46326.0</v>
      </c>
      <c r="H7" s="29" t="s">
        <v>44</v>
      </c>
      <c r="I7" s="31">
        <f>6*1000000+300000</f>
        <v>6300000</v>
      </c>
      <c r="J7" s="36"/>
      <c r="K7" s="36"/>
      <c r="L7" s="36"/>
      <c r="M7" s="37"/>
      <c r="N7" s="36"/>
      <c r="O7" s="36"/>
      <c r="P7" s="36"/>
      <c r="Q7" s="36"/>
      <c r="R7" s="36"/>
      <c r="S7" s="36"/>
      <c r="T7" s="36"/>
      <c r="U7" s="36"/>
      <c r="V7" s="36"/>
      <c r="W7" s="36"/>
      <c r="X7" s="36"/>
      <c r="Y7" s="32">
        <v>300000.0</v>
      </c>
      <c r="Z7" s="32">
        <v>1000000.0</v>
      </c>
      <c r="AA7" s="32">
        <v>1000000.0</v>
      </c>
      <c r="AB7" s="32">
        <v>1000000.0</v>
      </c>
      <c r="AC7" s="32">
        <v>1000000.0</v>
      </c>
      <c r="AD7" s="32">
        <v>1000000.0</v>
      </c>
      <c r="AE7" s="32">
        <v>1000000.0</v>
      </c>
      <c r="AF7" s="32"/>
      <c r="AG7" s="32"/>
      <c r="AH7" s="33"/>
      <c r="AI7" s="33"/>
      <c r="AJ7" s="33"/>
      <c r="AK7" s="33"/>
      <c r="AL7" s="33"/>
      <c r="AM7" s="33"/>
      <c r="AN7" s="33"/>
      <c r="AO7" s="33"/>
      <c r="AP7" s="33"/>
      <c r="AQ7" s="33"/>
      <c r="AR7" s="33"/>
      <c r="AS7" s="33"/>
      <c r="AT7" s="33"/>
      <c r="AU7" s="33"/>
      <c r="AV7" s="33"/>
      <c r="AW7" s="33"/>
      <c r="AX7" s="33"/>
      <c r="AY7" s="33"/>
      <c r="AZ7" s="33"/>
      <c r="BA7" s="33"/>
      <c r="BB7" s="33"/>
      <c r="BC7" s="33"/>
      <c r="BD7" s="33"/>
      <c r="BE7" s="33"/>
    </row>
    <row r="8">
      <c r="A8" s="28" t="s">
        <v>45</v>
      </c>
      <c r="B8" s="29" t="s">
        <v>36</v>
      </c>
      <c r="C8" s="29">
        <v>2.6692824E7</v>
      </c>
      <c r="D8" s="29">
        <v>1204401.0</v>
      </c>
      <c r="E8" s="28" t="s">
        <v>46</v>
      </c>
      <c r="F8" s="30">
        <v>45919.0</v>
      </c>
      <c r="G8" s="30">
        <v>46071.0</v>
      </c>
      <c r="H8" s="29" t="s">
        <v>47</v>
      </c>
      <c r="I8" s="31">
        <f>500000*6</f>
        <v>3000000</v>
      </c>
      <c r="J8" s="36"/>
      <c r="K8" s="32">
        <v>183333.33</v>
      </c>
      <c r="L8" s="32">
        <v>500000.0</v>
      </c>
      <c r="M8" s="32">
        <v>500000.0</v>
      </c>
      <c r="N8" s="32">
        <v>500000.0</v>
      </c>
      <c r="O8" s="32">
        <v>500000.0</v>
      </c>
      <c r="P8" s="32">
        <v>500000.0</v>
      </c>
      <c r="Q8" s="31">
        <f>220000+316666</f>
        <v>536666</v>
      </c>
      <c r="R8" s="32">
        <v>600000.0</v>
      </c>
      <c r="S8" s="32">
        <v>600000.0</v>
      </c>
      <c r="T8" s="32">
        <v>660000.0</v>
      </c>
      <c r="U8" s="32">
        <v>660000.0</v>
      </c>
      <c r="V8" s="32">
        <v>660000.0</v>
      </c>
      <c r="W8" s="32">
        <v>418000.0</v>
      </c>
      <c r="X8" s="32"/>
      <c r="Y8" s="32"/>
      <c r="Z8" s="32"/>
      <c r="AA8" s="32"/>
      <c r="AB8" s="32"/>
      <c r="AC8" s="32"/>
      <c r="AD8" s="31"/>
      <c r="AE8" s="31"/>
      <c r="AF8" s="31"/>
      <c r="AG8" s="31"/>
      <c r="AH8" s="34"/>
      <c r="AI8" s="34"/>
      <c r="AJ8" s="34"/>
      <c r="AK8" s="34"/>
      <c r="AL8" s="34"/>
      <c r="AM8" s="34"/>
      <c r="AN8" s="34"/>
      <c r="AO8" s="34"/>
      <c r="AP8" s="34"/>
      <c r="AQ8" s="34"/>
      <c r="AR8" s="34"/>
      <c r="AS8" s="34"/>
      <c r="AT8" s="34"/>
      <c r="AU8" s="34"/>
      <c r="AV8" s="34"/>
      <c r="AW8" s="34"/>
      <c r="AX8" s="34"/>
      <c r="AY8" s="34"/>
      <c r="AZ8" s="34"/>
      <c r="BA8" s="34"/>
      <c r="BB8" s="34"/>
      <c r="BC8" s="34"/>
      <c r="BD8" s="34"/>
      <c r="BE8" s="34"/>
    </row>
    <row r="9">
      <c r="A9" s="28" t="s">
        <v>45</v>
      </c>
      <c r="B9" s="29" t="s">
        <v>36</v>
      </c>
      <c r="C9" s="29">
        <v>2.6692824E7</v>
      </c>
      <c r="D9" s="29">
        <v>1204401.0</v>
      </c>
      <c r="E9" s="28" t="s">
        <v>46</v>
      </c>
      <c r="F9" s="30">
        <v>46072.0</v>
      </c>
      <c r="G9" s="30">
        <v>46265.0</v>
      </c>
      <c r="H9" s="29" t="s">
        <v>48</v>
      </c>
      <c r="I9" s="32">
        <v>4202000.0</v>
      </c>
      <c r="J9" s="37"/>
      <c r="K9" s="37"/>
      <c r="L9" s="37"/>
      <c r="M9" s="37"/>
      <c r="N9" s="37"/>
      <c r="O9" s="37"/>
      <c r="P9" s="37"/>
      <c r="Q9" s="36"/>
      <c r="R9" s="36"/>
      <c r="S9" s="36"/>
      <c r="T9" s="36"/>
      <c r="U9" s="36"/>
      <c r="V9" s="36"/>
      <c r="W9" s="32">
        <v>242000.0</v>
      </c>
      <c r="X9" s="32">
        <v>660000.0</v>
      </c>
      <c r="Y9" s="32">
        <v>775000.0</v>
      </c>
      <c r="Z9" s="32">
        <v>775000.0</v>
      </c>
      <c r="AA9" s="32">
        <v>775000.0</v>
      </c>
      <c r="AB9" s="32">
        <v>775000.0</v>
      </c>
      <c r="AC9" s="32">
        <v>775000.0</v>
      </c>
      <c r="AD9" s="31"/>
      <c r="AE9" s="31"/>
      <c r="AF9" s="31"/>
      <c r="AG9" s="31"/>
      <c r="AH9" s="34"/>
      <c r="AI9" s="34"/>
      <c r="AJ9" s="34"/>
      <c r="AK9" s="34"/>
      <c r="AL9" s="34"/>
      <c r="AM9" s="34"/>
      <c r="AN9" s="34"/>
      <c r="AO9" s="34"/>
      <c r="AP9" s="34"/>
      <c r="AQ9" s="34"/>
      <c r="AR9" s="34"/>
      <c r="AS9" s="34"/>
      <c r="AT9" s="34"/>
      <c r="AU9" s="34"/>
      <c r="AV9" s="34"/>
      <c r="AW9" s="34"/>
      <c r="AX9" s="34"/>
      <c r="AY9" s="34"/>
      <c r="AZ9" s="34"/>
      <c r="BA9" s="34"/>
      <c r="BB9" s="34"/>
      <c r="BC9" s="34"/>
      <c r="BD9" s="34"/>
      <c r="BE9" s="34"/>
    </row>
    <row r="10">
      <c r="A10" s="28" t="s">
        <v>49</v>
      </c>
      <c r="B10" s="29" t="s">
        <v>32</v>
      </c>
      <c r="C10" s="29">
        <v>3.71926E7</v>
      </c>
      <c r="D10" s="29">
        <v>1204556.0</v>
      </c>
      <c r="E10" s="28" t="s">
        <v>50</v>
      </c>
      <c r="F10" s="30">
        <v>45870.0</v>
      </c>
      <c r="G10" s="30">
        <v>46053.0</v>
      </c>
      <c r="H10" s="29" t="s">
        <v>51</v>
      </c>
      <c r="I10" s="31">
        <f>700000*6</f>
        <v>4200000</v>
      </c>
      <c r="J10" s="37"/>
      <c r="K10" s="37"/>
      <c r="L10" s="37"/>
      <c r="M10" s="37"/>
      <c r="N10" s="37"/>
      <c r="O10" s="37"/>
      <c r="P10" s="37"/>
      <c r="Q10" s="32">
        <v>700000.0</v>
      </c>
      <c r="R10" s="32">
        <v>700000.0</v>
      </c>
      <c r="S10" s="32">
        <v>700000.0</v>
      </c>
      <c r="T10" s="32">
        <v>770000.0</v>
      </c>
      <c r="U10" s="32">
        <v>770000.0</v>
      </c>
      <c r="V10" s="32">
        <v>770000.0</v>
      </c>
      <c r="W10" s="32">
        <v>770000.0</v>
      </c>
      <c r="X10" s="32">
        <v>770000.0</v>
      </c>
      <c r="Y10" s="32">
        <f>874000</f>
        <v>874000</v>
      </c>
      <c r="Z10" s="32">
        <v>900000.0</v>
      </c>
      <c r="AA10" s="32">
        <v>900000.0</v>
      </c>
      <c r="AB10" s="32">
        <v>900000.0</v>
      </c>
      <c r="AC10" s="31"/>
      <c r="AD10" s="31"/>
      <c r="AE10" s="31"/>
      <c r="AF10" s="31"/>
      <c r="AG10" s="31"/>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row>
    <row r="11">
      <c r="A11" s="28" t="s">
        <v>52</v>
      </c>
      <c r="B11" s="29" t="s">
        <v>53</v>
      </c>
      <c r="C11" s="29">
        <v>4.2162645E7</v>
      </c>
      <c r="D11" s="29">
        <v>1204967.0</v>
      </c>
      <c r="E11" s="28" t="s">
        <v>41</v>
      </c>
      <c r="F11" s="30">
        <v>45981.0</v>
      </c>
      <c r="G11" s="30">
        <v>46173.0</v>
      </c>
      <c r="H11" s="29" t="s">
        <v>54</v>
      </c>
      <c r="I11" s="32">
        <f>850000*6</f>
        <v>5100000</v>
      </c>
      <c r="J11" s="38"/>
      <c r="K11" s="38"/>
      <c r="L11" s="38"/>
      <c r="M11" s="38"/>
      <c r="N11" s="38"/>
      <c r="O11" s="38"/>
      <c r="P11" s="38"/>
      <c r="Q11" s="38"/>
      <c r="R11" s="38"/>
      <c r="S11" s="38"/>
      <c r="T11" s="32">
        <v>283333.33</v>
      </c>
      <c r="U11" s="32">
        <v>850000.0</v>
      </c>
      <c r="V11" s="32">
        <v>850000.0</v>
      </c>
      <c r="W11" s="32">
        <v>850000.0</v>
      </c>
      <c r="X11" s="32">
        <v>850000.0</v>
      </c>
      <c r="Y11" s="32">
        <v>1000000.0</v>
      </c>
      <c r="Z11" s="32">
        <v>1000000.0</v>
      </c>
      <c r="AA11" s="31"/>
      <c r="AB11" s="31"/>
      <c r="AC11" s="31"/>
      <c r="AD11" s="31"/>
      <c r="AE11" s="31"/>
      <c r="AF11" s="31"/>
      <c r="AG11" s="31"/>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row>
    <row r="12">
      <c r="A12" s="28" t="s">
        <v>52</v>
      </c>
      <c r="B12" s="29" t="s">
        <v>36</v>
      </c>
      <c r="C12" s="29">
        <v>4.2162645E7</v>
      </c>
      <c r="D12" s="29">
        <v>1204967.0</v>
      </c>
      <c r="E12" s="28" t="s">
        <v>43</v>
      </c>
      <c r="F12" s="30">
        <v>46174.0</v>
      </c>
      <c r="G12" s="30">
        <v>46387.0</v>
      </c>
      <c r="H12" s="29" t="s">
        <v>55</v>
      </c>
      <c r="I12" s="32">
        <v>7000000.0</v>
      </c>
      <c r="J12" s="31"/>
      <c r="K12" s="31"/>
      <c r="L12" s="31"/>
      <c r="M12" s="31"/>
      <c r="N12" s="31"/>
      <c r="O12" s="31"/>
      <c r="P12" s="31"/>
      <c r="Q12" s="31"/>
      <c r="R12" s="31"/>
      <c r="S12" s="31"/>
      <c r="T12" s="31"/>
      <c r="U12" s="31"/>
      <c r="V12" s="31"/>
      <c r="W12" s="31"/>
      <c r="X12" s="31"/>
      <c r="Y12" s="31"/>
      <c r="Z12" s="31"/>
      <c r="AA12" s="35">
        <v>1000000.0</v>
      </c>
      <c r="AB12" s="35">
        <v>1000000.0</v>
      </c>
      <c r="AC12" s="35">
        <v>1000000.0</v>
      </c>
      <c r="AD12" s="35">
        <v>1000000.0</v>
      </c>
      <c r="AE12" s="35">
        <v>1000000.0</v>
      </c>
      <c r="AF12" s="35">
        <v>1000000.0</v>
      </c>
      <c r="AG12" s="35">
        <v>1000000.0</v>
      </c>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row>
    <row r="13">
      <c r="A13" s="28" t="s">
        <v>56</v>
      </c>
      <c r="B13" s="29" t="s">
        <v>53</v>
      </c>
      <c r="C13" s="29">
        <v>2.4521108E7</v>
      </c>
      <c r="D13" s="29">
        <v>1204969.0</v>
      </c>
      <c r="E13" s="28" t="s">
        <v>57</v>
      </c>
      <c r="F13" s="30">
        <v>46082.0</v>
      </c>
      <c r="G13" s="30">
        <v>46446.0</v>
      </c>
      <c r="H13" s="29" t="s">
        <v>58</v>
      </c>
      <c r="I13" s="31">
        <f>850000+1000000*11</f>
        <v>11850000</v>
      </c>
      <c r="J13" s="31"/>
      <c r="K13" s="31"/>
      <c r="L13" s="31"/>
      <c r="M13" s="31"/>
      <c r="N13" s="31"/>
      <c r="O13" s="31"/>
      <c r="P13" s="31"/>
      <c r="Q13" s="31"/>
      <c r="R13" s="31"/>
      <c r="S13" s="31"/>
      <c r="T13" s="31"/>
      <c r="U13" s="31"/>
      <c r="V13" s="31"/>
      <c r="W13" s="32">
        <v>850000.0</v>
      </c>
      <c r="X13" s="32">
        <v>1000000.0</v>
      </c>
      <c r="Y13" s="32">
        <v>1000000.0</v>
      </c>
      <c r="Z13" s="32">
        <v>1000000.0</v>
      </c>
      <c r="AA13" s="32">
        <v>1000000.0</v>
      </c>
      <c r="AB13" s="32">
        <v>1000000.0</v>
      </c>
      <c r="AC13" s="32">
        <v>1000000.0</v>
      </c>
      <c r="AD13" s="32">
        <v>1000000.0</v>
      </c>
      <c r="AE13" s="32">
        <v>1000000.0</v>
      </c>
      <c r="AF13" s="32">
        <v>1000000.0</v>
      </c>
      <c r="AG13" s="32">
        <v>1000000.0</v>
      </c>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row>
    <row r="14">
      <c r="A14" s="28" t="s">
        <v>59</v>
      </c>
      <c r="B14" s="29" t="s">
        <v>53</v>
      </c>
      <c r="C14" s="29">
        <v>3.8109987E7</v>
      </c>
      <c r="D14" s="29">
        <v>1.000031E7</v>
      </c>
      <c r="E14" s="28" t="s">
        <v>60</v>
      </c>
      <c r="F14" s="30">
        <v>46113.0</v>
      </c>
      <c r="G14" s="30">
        <v>46173.0</v>
      </c>
      <c r="H14" s="29" t="s">
        <v>61</v>
      </c>
      <c r="I14" s="31">
        <f>850000*2</f>
        <v>1700000</v>
      </c>
      <c r="J14" s="31"/>
      <c r="K14" s="31"/>
      <c r="L14" s="31"/>
      <c r="M14" s="31"/>
      <c r="N14" s="31"/>
      <c r="O14" s="31"/>
      <c r="P14" s="31"/>
      <c r="Q14" s="31"/>
      <c r="R14" s="31"/>
      <c r="S14" s="31"/>
      <c r="T14" s="31"/>
      <c r="U14" s="31"/>
      <c r="V14" s="31"/>
      <c r="W14" s="31"/>
      <c r="X14" s="31"/>
      <c r="Y14" s="32">
        <v>850000.0</v>
      </c>
      <c r="Z14" s="32">
        <v>850000.0</v>
      </c>
      <c r="AA14" s="35">
        <v>1000000.0</v>
      </c>
      <c r="AB14" s="35">
        <v>1000000.0</v>
      </c>
      <c r="AC14" s="35">
        <v>1000000.0</v>
      </c>
      <c r="AD14" s="35">
        <v>1000000.0</v>
      </c>
      <c r="AE14" s="35">
        <v>1000000.0</v>
      </c>
      <c r="AF14" s="35">
        <v>1000000.0</v>
      </c>
      <c r="AG14" s="35">
        <v>1000000.0</v>
      </c>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row>
    <row r="15">
      <c r="A15" s="28" t="s">
        <v>59</v>
      </c>
      <c r="B15" s="29" t="s">
        <v>36</v>
      </c>
      <c r="C15" s="29">
        <v>3.8109987E7</v>
      </c>
      <c r="D15" s="29">
        <v>1.000031E7</v>
      </c>
      <c r="E15" s="28" t="s">
        <v>60</v>
      </c>
      <c r="F15" s="30">
        <v>46174.0</v>
      </c>
      <c r="G15" s="30">
        <v>46387.0</v>
      </c>
      <c r="H15" s="29" t="s">
        <v>62</v>
      </c>
      <c r="I15" s="31">
        <f>1000000*6</f>
        <v>6000000</v>
      </c>
      <c r="J15" s="31"/>
      <c r="K15" s="31"/>
      <c r="L15" s="31"/>
      <c r="M15" s="31"/>
      <c r="N15" s="31"/>
      <c r="O15" s="31"/>
      <c r="P15" s="31"/>
      <c r="Q15" s="31"/>
      <c r="R15" s="31"/>
      <c r="S15" s="31"/>
      <c r="T15" s="31"/>
      <c r="U15" s="31"/>
      <c r="V15" s="31"/>
      <c r="W15" s="31"/>
      <c r="X15" s="31"/>
      <c r="Y15" s="31"/>
      <c r="Z15" s="31"/>
      <c r="AA15" s="32">
        <v>1000000.0</v>
      </c>
      <c r="AB15" s="32">
        <v>1000000.0</v>
      </c>
      <c r="AC15" s="32">
        <v>1000000.0</v>
      </c>
      <c r="AD15" s="32">
        <v>1000000.0</v>
      </c>
      <c r="AE15" s="32">
        <v>1000000.0</v>
      </c>
      <c r="AF15" s="32">
        <v>1000000.0</v>
      </c>
      <c r="AG15" s="32">
        <v>1000000.0</v>
      </c>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row>
    <row r="16">
      <c r="A16" s="28" t="s">
        <v>63</v>
      </c>
      <c r="B16" s="29" t="s">
        <v>53</v>
      </c>
      <c r="C16" s="29">
        <v>3.015443E7</v>
      </c>
      <c r="D16" s="29">
        <v>1.000048E7</v>
      </c>
      <c r="E16" s="28" t="s">
        <v>60</v>
      </c>
      <c r="F16" s="30">
        <v>46143.0</v>
      </c>
      <c r="G16" s="30">
        <v>46234.0</v>
      </c>
      <c r="H16" s="29" t="s">
        <v>64</v>
      </c>
      <c r="I16" s="31">
        <v>2289000.0</v>
      </c>
      <c r="J16" s="31"/>
      <c r="K16" s="31"/>
      <c r="L16" s="31"/>
      <c r="M16" s="31"/>
      <c r="N16" s="31"/>
      <c r="O16" s="31"/>
      <c r="P16" s="31"/>
      <c r="Q16" s="31"/>
      <c r="R16" s="31"/>
      <c r="S16" s="31"/>
      <c r="T16" s="31"/>
      <c r="U16" s="31"/>
      <c r="V16" s="31"/>
      <c r="W16" s="31"/>
      <c r="X16" s="31"/>
      <c r="Y16" s="31"/>
      <c r="Z16" s="31">
        <f t="shared" ref="Z16:AB16" si="1">$I16/3</f>
        <v>763000</v>
      </c>
      <c r="AA16" s="31">
        <f t="shared" si="1"/>
        <v>763000</v>
      </c>
      <c r="AB16" s="31">
        <f t="shared" si="1"/>
        <v>763000</v>
      </c>
      <c r="AC16" s="31"/>
      <c r="AD16" s="31"/>
      <c r="AE16" s="31"/>
      <c r="AF16" s="32"/>
      <c r="AG16" s="32"/>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row>
    <row r="17">
      <c r="A17" s="28" t="s">
        <v>65</v>
      </c>
      <c r="B17" s="29" t="s">
        <v>53</v>
      </c>
      <c r="C17" s="29">
        <v>3.6133163E7</v>
      </c>
      <c r="D17" s="29">
        <v>1.0000435E7</v>
      </c>
      <c r="E17" s="28" t="s">
        <v>60</v>
      </c>
      <c r="F17" s="30">
        <v>46143.0</v>
      </c>
      <c r="G17" s="30">
        <v>46234.0</v>
      </c>
      <c r="H17" s="29" t="s">
        <v>66</v>
      </c>
      <c r="I17" s="31">
        <v>4578000.0</v>
      </c>
      <c r="J17" s="31"/>
      <c r="K17" s="31"/>
      <c r="L17" s="31"/>
      <c r="M17" s="31"/>
      <c r="N17" s="31"/>
      <c r="O17" s="31"/>
      <c r="P17" s="31"/>
      <c r="Q17" s="31"/>
      <c r="R17" s="31"/>
      <c r="S17" s="31"/>
      <c r="T17" s="31"/>
      <c r="U17" s="31"/>
      <c r="V17" s="31"/>
      <c r="W17" s="31"/>
      <c r="X17" s="31"/>
      <c r="Y17" s="31"/>
      <c r="Z17" s="31">
        <f t="shared" ref="Z17:AB17" si="2">$I17/3</f>
        <v>1526000</v>
      </c>
      <c r="AA17" s="31">
        <f t="shared" si="2"/>
        <v>1526000</v>
      </c>
      <c r="AB17" s="31">
        <f t="shared" si="2"/>
        <v>1526000</v>
      </c>
      <c r="AC17" s="31"/>
      <c r="AD17" s="31"/>
      <c r="AE17" s="31"/>
      <c r="AF17" s="32"/>
      <c r="AG17" s="32"/>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row>
    <row r="18">
      <c r="A18" s="28" t="s">
        <v>67</v>
      </c>
      <c r="B18" s="29" t="s">
        <v>53</v>
      </c>
      <c r="C18" s="29">
        <v>2.7523032E7</v>
      </c>
      <c r="D18" s="29">
        <v>1.0000455E7</v>
      </c>
      <c r="E18" s="28" t="s">
        <v>60</v>
      </c>
      <c r="F18" s="30">
        <v>46143.0</v>
      </c>
      <c r="G18" s="30">
        <v>46234.0</v>
      </c>
      <c r="H18" s="29" t="s">
        <v>68</v>
      </c>
      <c r="I18" s="31">
        <v>2289000.0</v>
      </c>
      <c r="J18" s="31"/>
      <c r="K18" s="31"/>
      <c r="L18" s="31"/>
      <c r="M18" s="31"/>
      <c r="N18" s="31"/>
      <c r="O18" s="31"/>
      <c r="P18" s="31"/>
      <c r="Q18" s="31"/>
      <c r="R18" s="31"/>
      <c r="S18" s="31"/>
      <c r="T18" s="31"/>
      <c r="U18" s="31"/>
      <c r="V18" s="31"/>
      <c r="W18" s="31"/>
      <c r="X18" s="31"/>
      <c r="Y18" s="31"/>
      <c r="Z18" s="31">
        <f t="shared" ref="Z18:AB18" si="3">$I18/3</f>
        <v>763000</v>
      </c>
      <c r="AA18" s="31">
        <f t="shared" si="3"/>
        <v>763000</v>
      </c>
      <c r="AB18" s="31">
        <f t="shared" si="3"/>
        <v>763000</v>
      </c>
      <c r="AC18" s="31"/>
      <c r="AD18" s="31"/>
      <c r="AE18" s="31"/>
      <c r="AF18" s="32"/>
      <c r="AG18" s="32"/>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row>
    <row r="19">
      <c r="A19" s="28" t="s">
        <v>69</v>
      </c>
      <c r="B19" s="29" t="s">
        <v>53</v>
      </c>
      <c r="C19" s="29">
        <v>2.7895645E7</v>
      </c>
      <c r="D19" s="29">
        <v>1.0000456E7</v>
      </c>
      <c r="E19" s="28" t="s">
        <v>60</v>
      </c>
      <c r="F19" s="30">
        <v>46143.0</v>
      </c>
      <c r="G19" s="30">
        <v>46234.0</v>
      </c>
      <c r="H19" s="29" t="s">
        <v>70</v>
      </c>
      <c r="I19" s="31">
        <v>2289000.0</v>
      </c>
      <c r="J19" s="31"/>
      <c r="K19" s="31"/>
      <c r="L19" s="31"/>
      <c r="M19" s="31"/>
      <c r="N19" s="31"/>
      <c r="O19" s="31"/>
      <c r="P19" s="31"/>
      <c r="Q19" s="31"/>
      <c r="R19" s="31"/>
      <c r="S19" s="31"/>
      <c r="T19" s="31"/>
      <c r="U19" s="31"/>
      <c r="V19" s="31"/>
      <c r="W19" s="31"/>
      <c r="X19" s="31"/>
      <c r="Y19" s="31"/>
      <c r="Z19" s="31">
        <f t="shared" ref="Z19:AB19" si="4">$I19/3</f>
        <v>763000</v>
      </c>
      <c r="AA19" s="31">
        <f t="shared" si="4"/>
        <v>763000</v>
      </c>
      <c r="AB19" s="31">
        <f t="shared" si="4"/>
        <v>763000</v>
      </c>
      <c r="AC19" s="31"/>
      <c r="AD19" s="31"/>
      <c r="AE19" s="31"/>
      <c r="AF19" s="32"/>
      <c r="AG19" s="32"/>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row>
    <row r="20">
      <c r="A20" s="28" t="s">
        <v>71</v>
      </c>
      <c r="B20" s="29" t="s">
        <v>53</v>
      </c>
      <c r="C20" s="29">
        <v>3.4884173E7</v>
      </c>
      <c r="D20" s="29">
        <v>1.0000439E7</v>
      </c>
      <c r="E20" s="28" t="s">
        <v>60</v>
      </c>
      <c r="F20" s="30">
        <v>46143.0</v>
      </c>
      <c r="G20" s="30">
        <v>46234.0</v>
      </c>
      <c r="H20" s="29" t="s">
        <v>72</v>
      </c>
      <c r="I20" s="31">
        <v>4578000.0</v>
      </c>
      <c r="J20" s="31"/>
      <c r="K20" s="31"/>
      <c r="L20" s="31"/>
      <c r="M20" s="31"/>
      <c r="N20" s="31"/>
      <c r="O20" s="31"/>
      <c r="P20" s="31"/>
      <c r="Q20" s="31"/>
      <c r="R20" s="31"/>
      <c r="S20" s="31"/>
      <c r="T20" s="31"/>
      <c r="U20" s="31"/>
      <c r="V20" s="31"/>
      <c r="W20" s="31"/>
      <c r="X20" s="31"/>
      <c r="Y20" s="31"/>
      <c r="Z20" s="31">
        <f t="shared" ref="Z20:AB20" si="5">$I20/3</f>
        <v>1526000</v>
      </c>
      <c r="AA20" s="31">
        <f t="shared" si="5"/>
        <v>1526000</v>
      </c>
      <c r="AB20" s="31">
        <f t="shared" si="5"/>
        <v>1526000</v>
      </c>
      <c r="AC20" s="31"/>
      <c r="AD20" s="31"/>
      <c r="AE20" s="31"/>
      <c r="AF20" s="32"/>
      <c r="AG20" s="32"/>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row>
    <row r="21">
      <c r="A21" s="28" t="s">
        <v>73</v>
      </c>
      <c r="B21" s="29" t="s">
        <v>53</v>
      </c>
      <c r="C21" s="29">
        <v>2.9402552E7</v>
      </c>
      <c r="D21" s="29">
        <v>1.0000458E7</v>
      </c>
      <c r="E21" s="28" t="s">
        <v>60</v>
      </c>
      <c r="F21" s="30">
        <v>46143.0</v>
      </c>
      <c r="G21" s="30">
        <v>46234.0</v>
      </c>
      <c r="H21" s="29" t="s">
        <v>74</v>
      </c>
      <c r="I21" s="31">
        <v>4578000.0</v>
      </c>
      <c r="J21" s="31"/>
      <c r="K21" s="31"/>
      <c r="L21" s="31"/>
      <c r="M21" s="31"/>
      <c r="N21" s="31"/>
      <c r="O21" s="31"/>
      <c r="P21" s="31"/>
      <c r="Q21" s="31"/>
      <c r="R21" s="31"/>
      <c r="S21" s="31"/>
      <c r="T21" s="31"/>
      <c r="U21" s="31"/>
      <c r="V21" s="31"/>
      <c r="W21" s="31"/>
      <c r="X21" s="31"/>
      <c r="Y21" s="31"/>
      <c r="Z21" s="31">
        <f t="shared" ref="Z21:AB21" si="6">$I21/3</f>
        <v>1526000</v>
      </c>
      <c r="AA21" s="31">
        <f t="shared" si="6"/>
        <v>1526000</v>
      </c>
      <c r="AB21" s="31">
        <f t="shared" si="6"/>
        <v>1526000</v>
      </c>
      <c r="AC21" s="31"/>
      <c r="AD21" s="31"/>
      <c r="AE21" s="31"/>
      <c r="AF21" s="32"/>
      <c r="AG21" s="32"/>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row>
    <row r="22">
      <c r="A22" s="28" t="s">
        <v>75</v>
      </c>
      <c r="B22" s="29" t="s">
        <v>53</v>
      </c>
      <c r="C22" s="29">
        <v>2.1694303E7</v>
      </c>
      <c r="D22" s="29">
        <v>1.0000464E7</v>
      </c>
      <c r="E22" s="28" t="s">
        <v>60</v>
      </c>
      <c r="F22" s="30">
        <v>46143.0</v>
      </c>
      <c r="G22" s="30">
        <v>46234.0</v>
      </c>
      <c r="H22" s="29" t="s">
        <v>76</v>
      </c>
      <c r="I22" s="31">
        <v>2289000.0</v>
      </c>
      <c r="J22" s="31"/>
      <c r="K22" s="31"/>
      <c r="L22" s="31"/>
      <c r="M22" s="31"/>
      <c r="N22" s="31"/>
      <c r="O22" s="31"/>
      <c r="P22" s="31"/>
      <c r="Q22" s="31"/>
      <c r="R22" s="31"/>
      <c r="S22" s="31"/>
      <c r="T22" s="31"/>
      <c r="U22" s="31"/>
      <c r="V22" s="31"/>
      <c r="W22" s="31"/>
      <c r="X22" s="31"/>
      <c r="Y22" s="31"/>
      <c r="Z22" s="32">
        <v>864733.33</v>
      </c>
      <c r="AA22" s="32">
        <v>1526000.0</v>
      </c>
      <c r="AB22" s="32">
        <v>1526000.0</v>
      </c>
      <c r="AC22" s="31"/>
      <c r="AD22" s="31"/>
      <c r="AE22" s="31"/>
      <c r="AF22" s="32"/>
      <c r="AG22" s="32"/>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row>
    <row r="23">
      <c r="A23" s="28" t="s">
        <v>77</v>
      </c>
      <c r="B23" s="29" t="s">
        <v>53</v>
      </c>
      <c r="C23" s="29">
        <v>3.5672463E7</v>
      </c>
      <c r="D23" s="29">
        <v>1.0000431E7</v>
      </c>
      <c r="E23" s="28" t="s">
        <v>60</v>
      </c>
      <c r="F23" s="30">
        <v>46143.0</v>
      </c>
      <c r="G23" s="30">
        <v>46234.0</v>
      </c>
      <c r="H23" s="29" t="s">
        <v>78</v>
      </c>
      <c r="I23" s="31">
        <v>2289000.0</v>
      </c>
      <c r="J23" s="31"/>
      <c r="K23" s="31"/>
      <c r="L23" s="31"/>
      <c r="M23" s="31"/>
      <c r="N23" s="31"/>
      <c r="O23" s="31"/>
      <c r="P23" s="31"/>
      <c r="Q23" s="31"/>
      <c r="R23" s="31"/>
      <c r="S23" s="31"/>
      <c r="T23" s="31"/>
      <c r="U23" s="31"/>
      <c r="V23" s="31"/>
      <c r="W23" s="31"/>
      <c r="X23" s="31"/>
      <c r="Y23" s="31"/>
      <c r="Z23" s="31">
        <f t="shared" ref="Z23:AB23" si="7">$I23/3</f>
        <v>763000</v>
      </c>
      <c r="AA23" s="31">
        <f t="shared" si="7"/>
        <v>763000</v>
      </c>
      <c r="AB23" s="31">
        <f t="shared" si="7"/>
        <v>763000</v>
      </c>
      <c r="AC23" s="31"/>
      <c r="AD23" s="31"/>
      <c r="AE23" s="31"/>
      <c r="AF23" s="32"/>
      <c r="AG23" s="32"/>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row>
    <row r="24">
      <c r="A24" s="28" t="s">
        <v>79</v>
      </c>
      <c r="B24" s="29" t="s">
        <v>53</v>
      </c>
      <c r="C24" s="29">
        <v>2.9724918E7</v>
      </c>
      <c r="D24" s="29">
        <v>1.00005E7</v>
      </c>
      <c r="E24" s="28" t="s">
        <v>60</v>
      </c>
      <c r="F24" s="30">
        <v>46143.0</v>
      </c>
      <c r="G24" s="30">
        <v>46234.0</v>
      </c>
      <c r="H24" s="29" t="s">
        <v>80</v>
      </c>
      <c r="I24" s="31">
        <v>2289000.0</v>
      </c>
      <c r="J24" s="31"/>
      <c r="K24" s="31"/>
      <c r="L24" s="31"/>
      <c r="M24" s="31"/>
      <c r="N24" s="31"/>
      <c r="O24" s="31"/>
      <c r="P24" s="31"/>
      <c r="Q24" s="31"/>
      <c r="R24" s="31"/>
      <c r="S24" s="31"/>
      <c r="T24" s="31"/>
      <c r="U24" s="31"/>
      <c r="V24" s="31"/>
      <c r="W24" s="31"/>
      <c r="X24" s="31"/>
      <c r="Y24" s="31"/>
      <c r="Z24" s="31">
        <f t="shared" ref="Z24:AB24" si="8">$I24/3</f>
        <v>763000</v>
      </c>
      <c r="AA24" s="31">
        <f t="shared" si="8"/>
        <v>763000</v>
      </c>
      <c r="AB24" s="31">
        <f t="shared" si="8"/>
        <v>763000</v>
      </c>
      <c r="AC24" s="31"/>
      <c r="AD24" s="31"/>
      <c r="AE24" s="31"/>
      <c r="AF24" s="32"/>
      <c r="AG24" s="32"/>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row>
    <row r="25">
      <c r="A25" s="28" t="s">
        <v>81</v>
      </c>
      <c r="B25" s="29" t="s">
        <v>53</v>
      </c>
      <c r="C25" s="29">
        <v>3.031015E7</v>
      </c>
      <c r="D25" s="29">
        <v>1.0000444E7</v>
      </c>
      <c r="E25" s="28" t="s">
        <v>60</v>
      </c>
      <c r="F25" s="30">
        <v>46143.0</v>
      </c>
      <c r="G25" s="30">
        <v>46234.0</v>
      </c>
      <c r="H25" s="29" t="s">
        <v>82</v>
      </c>
      <c r="I25" s="31">
        <v>2289000.0</v>
      </c>
      <c r="J25" s="31"/>
      <c r="K25" s="31"/>
      <c r="L25" s="31"/>
      <c r="M25" s="31"/>
      <c r="N25" s="31"/>
      <c r="O25" s="31"/>
      <c r="P25" s="31"/>
      <c r="Q25" s="31"/>
      <c r="R25" s="31"/>
      <c r="S25" s="31"/>
      <c r="T25" s="31"/>
      <c r="U25" s="31"/>
      <c r="V25" s="31"/>
      <c r="W25" s="31"/>
      <c r="X25" s="31"/>
      <c r="Y25" s="31"/>
      <c r="Z25" s="31">
        <f t="shared" ref="Z25:AB25" si="9">$I25/3</f>
        <v>763000</v>
      </c>
      <c r="AA25" s="31">
        <f t="shared" si="9"/>
        <v>763000</v>
      </c>
      <c r="AB25" s="31">
        <f t="shared" si="9"/>
        <v>763000</v>
      </c>
      <c r="AC25" s="31"/>
      <c r="AD25" s="31"/>
      <c r="AE25" s="31"/>
      <c r="AF25" s="32"/>
      <c r="AG25" s="32"/>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row>
    <row r="26">
      <c r="A26" s="28" t="s">
        <v>83</v>
      </c>
      <c r="B26" s="29" t="s">
        <v>53</v>
      </c>
      <c r="C26" s="29">
        <v>3.8731204E7</v>
      </c>
      <c r="D26" s="29">
        <v>1.0000425E7</v>
      </c>
      <c r="E26" s="28" t="s">
        <v>60</v>
      </c>
      <c r="F26" s="30">
        <v>46143.0</v>
      </c>
      <c r="G26" s="30">
        <v>46234.0</v>
      </c>
      <c r="H26" s="29" t="s">
        <v>84</v>
      </c>
      <c r="I26" s="31">
        <v>2289000.0</v>
      </c>
      <c r="J26" s="31"/>
      <c r="K26" s="31"/>
      <c r="L26" s="31"/>
      <c r="M26" s="31"/>
      <c r="N26" s="31"/>
      <c r="O26" s="31"/>
      <c r="P26" s="31"/>
      <c r="Q26" s="31"/>
      <c r="R26" s="31"/>
      <c r="S26" s="31"/>
      <c r="T26" s="31"/>
      <c r="U26" s="31"/>
      <c r="V26" s="31"/>
      <c r="W26" s="31"/>
      <c r="X26" s="31"/>
      <c r="Y26" s="31"/>
      <c r="Z26" s="31">
        <f t="shared" ref="Z26:AB26" si="10">$I26/3</f>
        <v>763000</v>
      </c>
      <c r="AA26" s="31">
        <f t="shared" si="10"/>
        <v>763000</v>
      </c>
      <c r="AB26" s="31">
        <f t="shared" si="10"/>
        <v>763000</v>
      </c>
      <c r="AC26" s="31"/>
      <c r="AD26" s="31"/>
      <c r="AE26" s="31"/>
      <c r="AF26" s="32"/>
      <c r="AG26" s="32"/>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row>
    <row r="27">
      <c r="A27" s="28" t="s">
        <v>85</v>
      </c>
      <c r="B27" s="29" t="s">
        <v>53</v>
      </c>
      <c r="C27" s="29">
        <v>2.934768E7</v>
      </c>
      <c r="D27" s="29">
        <v>1.0000452E7</v>
      </c>
      <c r="E27" s="28" t="s">
        <v>60</v>
      </c>
      <c r="F27" s="30">
        <v>46143.0</v>
      </c>
      <c r="G27" s="30">
        <v>46234.0</v>
      </c>
      <c r="H27" s="29" t="s">
        <v>86</v>
      </c>
      <c r="I27" s="31">
        <v>4578000.0</v>
      </c>
      <c r="J27" s="31"/>
      <c r="K27" s="31"/>
      <c r="L27" s="31"/>
      <c r="M27" s="31"/>
      <c r="N27" s="31"/>
      <c r="O27" s="31"/>
      <c r="P27" s="31"/>
      <c r="Q27" s="31"/>
      <c r="R27" s="31"/>
      <c r="S27" s="31"/>
      <c r="T27" s="31"/>
      <c r="U27" s="31"/>
      <c r="V27" s="31"/>
      <c r="W27" s="31"/>
      <c r="X27" s="31"/>
      <c r="Y27" s="31"/>
      <c r="Z27" s="31">
        <f t="shared" ref="Z27:AB27" si="11">$I27/3</f>
        <v>1526000</v>
      </c>
      <c r="AA27" s="31">
        <f t="shared" si="11"/>
        <v>1526000</v>
      </c>
      <c r="AB27" s="31">
        <f t="shared" si="11"/>
        <v>1526000</v>
      </c>
      <c r="AC27" s="31"/>
      <c r="AD27" s="31"/>
      <c r="AE27" s="31"/>
      <c r="AF27" s="32"/>
      <c r="AG27" s="32"/>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row>
    <row r="28" ht="27.0" customHeight="1">
      <c r="A28" s="28" t="s">
        <v>87</v>
      </c>
      <c r="B28" s="29" t="s">
        <v>53</v>
      </c>
      <c r="C28" s="29">
        <v>9.3966267E7</v>
      </c>
      <c r="D28" s="29">
        <v>1.0000475E7</v>
      </c>
      <c r="E28" s="28" t="s">
        <v>60</v>
      </c>
      <c r="F28" s="39" t="s">
        <v>88</v>
      </c>
      <c r="G28" s="30">
        <v>46234.0</v>
      </c>
      <c r="H28" s="29">
        <v>4411.0</v>
      </c>
      <c r="I28" s="37"/>
      <c r="J28" s="31"/>
      <c r="K28" s="31"/>
      <c r="L28" s="31"/>
      <c r="M28" s="31"/>
      <c r="N28" s="31"/>
      <c r="O28" s="31"/>
      <c r="P28" s="31"/>
      <c r="Q28" s="31"/>
      <c r="R28" s="31"/>
      <c r="S28" s="31"/>
      <c r="T28" s="31"/>
      <c r="U28" s="31"/>
      <c r="V28" s="31"/>
      <c r="W28" s="31"/>
      <c r="X28" s="31"/>
      <c r="Y28" s="31"/>
      <c r="Z28" s="37"/>
      <c r="AA28" s="37"/>
      <c r="AB28" s="37"/>
      <c r="AC28" s="31"/>
      <c r="AD28" s="31"/>
      <c r="AE28" s="31"/>
      <c r="AF28" s="32"/>
      <c r="AG28" s="32"/>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row>
    <row r="29">
      <c r="A29" s="28" t="s">
        <v>89</v>
      </c>
      <c r="B29" s="29" t="s">
        <v>53</v>
      </c>
      <c r="C29" s="29">
        <v>2.8173748E7</v>
      </c>
      <c r="D29" s="29">
        <v>1.0000484E7</v>
      </c>
      <c r="E29" s="28" t="s">
        <v>60</v>
      </c>
      <c r="F29" s="30">
        <v>46143.0</v>
      </c>
      <c r="G29" s="30">
        <v>46234.0</v>
      </c>
      <c r="H29" s="29" t="s">
        <v>90</v>
      </c>
      <c r="I29" s="31">
        <v>2289000.0</v>
      </c>
      <c r="J29" s="31"/>
      <c r="K29" s="31"/>
      <c r="L29" s="31"/>
      <c r="M29" s="31"/>
      <c r="N29" s="31"/>
      <c r="O29" s="31"/>
      <c r="P29" s="31"/>
      <c r="Q29" s="31"/>
      <c r="R29" s="31"/>
      <c r="S29" s="31"/>
      <c r="T29" s="31"/>
      <c r="U29" s="31"/>
      <c r="V29" s="31"/>
      <c r="W29" s="31"/>
      <c r="X29" s="31"/>
      <c r="Y29" s="31"/>
      <c r="Z29" s="31">
        <f t="shared" ref="Z29:AB29" si="12">$I29/3</f>
        <v>763000</v>
      </c>
      <c r="AA29" s="31">
        <f t="shared" si="12"/>
        <v>763000</v>
      </c>
      <c r="AB29" s="31">
        <f t="shared" si="12"/>
        <v>763000</v>
      </c>
      <c r="AC29" s="31"/>
      <c r="AD29" s="31"/>
      <c r="AE29" s="31"/>
      <c r="AF29" s="32"/>
      <c r="AG29" s="32"/>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row>
    <row r="30">
      <c r="A30" s="28" t="s">
        <v>91</v>
      </c>
      <c r="B30" s="29" t="s">
        <v>53</v>
      </c>
      <c r="C30" s="29">
        <v>3.4783671E7</v>
      </c>
      <c r="D30" s="29">
        <v>1.0000476E7</v>
      </c>
      <c r="E30" s="28" t="s">
        <v>60</v>
      </c>
      <c r="F30" s="30">
        <v>46143.0</v>
      </c>
      <c r="G30" s="30">
        <v>46234.0</v>
      </c>
      <c r="H30" s="29" t="s">
        <v>92</v>
      </c>
      <c r="I30" s="31">
        <v>2289000.0</v>
      </c>
      <c r="J30" s="31"/>
      <c r="K30" s="31"/>
      <c r="L30" s="31"/>
      <c r="M30" s="31"/>
      <c r="N30" s="31"/>
      <c r="O30" s="31"/>
      <c r="P30" s="31"/>
      <c r="Q30" s="31"/>
      <c r="R30" s="31"/>
      <c r="S30" s="31"/>
      <c r="T30" s="31"/>
      <c r="U30" s="31"/>
      <c r="V30" s="31"/>
      <c r="W30" s="31"/>
      <c r="X30" s="31"/>
      <c r="Y30" s="31"/>
      <c r="Z30" s="31">
        <f t="shared" ref="Z30:AB30" si="13">$I30/3</f>
        <v>763000</v>
      </c>
      <c r="AA30" s="31">
        <f t="shared" si="13"/>
        <v>763000</v>
      </c>
      <c r="AB30" s="31">
        <f t="shared" si="13"/>
        <v>763000</v>
      </c>
      <c r="AC30" s="31"/>
      <c r="AD30" s="31"/>
      <c r="AE30" s="31"/>
      <c r="AF30" s="32"/>
      <c r="AG30" s="32"/>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row>
    <row r="31">
      <c r="A31" s="28" t="s">
        <v>93</v>
      </c>
      <c r="B31" s="29" t="s">
        <v>53</v>
      </c>
      <c r="C31" s="29">
        <v>2.2233021E7</v>
      </c>
      <c r="D31" s="29">
        <v>1.0000436E7</v>
      </c>
      <c r="E31" s="28" t="s">
        <v>60</v>
      </c>
      <c r="F31" s="30">
        <v>46143.0</v>
      </c>
      <c r="G31" s="30">
        <v>46234.0</v>
      </c>
      <c r="H31" s="29" t="s">
        <v>94</v>
      </c>
      <c r="I31" s="31">
        <v>4578000.0</v>
      </c>
      <c r="J31" s="31"/>
      <c r="K31" s="31"/>
      <c r="L31" s="31"/>
      <c r="M31" s="31"/>
      <c r="N31" s="31"/>
      <c r="O31" s="31"/>
      <c r="P31" s="31"/>
      <c r="Q31" s="31"/>
      <c r="R31" s="31"/>
      <c r="S31" s="31"/>
      <c r="T31" s="31"/>
      <c r="U31" s="31"/>
      <c r="V31" s="31"/>
      <c r="W31" s="31"/>
      <c r="X31" s="31"/>
      <c r="Y31" s="31"/>
      <c r="Z31" s="31">
        <f t="shared" ref="Z31:AB31" si="14">$I31/3</f>
        <v>1526000</v>
      </c>
      <c r="AA31" s="31">
        <f t="shared" si="14"/>
        <v>1526000</v>
      </c>
      <c r="AB31" s="31">
        <f t="shared" si="14"/>
        <v>1526000</v>
      </c>
      <c r="AC31" s="31"/>
      <c r="AD31" s="31"/>
      <c r="AE31" s="31"/>
      <c r="AF31" s="32"/>
      <c r="AG31" s="32"/>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row>
    <row r="32">
      <c r="A32" s="28" t="s">
        <v>95</v>
      </c>
      <c r="B32" s="29" t="s">
        <v>53</v>
      </c>
      <c r="C32" s="29">
        <v>3.591503E7</v>
      </c>
      <c r="D32" s="29">
        <v>1.0000428E7</v>
      </c>
      <c r="E32" s="28" t="s">
        <v>60</v>
      </c>
      <c r="F32" s="30">
        <v>46143.0</v>
      </c>
      <c r="G32" s="30">
        <v>46234.0</v>
      </c>
      <c r="H32" s="29" t="s">
        <v>96</v>
      </c>
      <c r="I32" s="31">
        <v>2289000.0</v>
      </c>
      <c r="J32" s="31"/>
      <c r="K32" s="31"/>
      <c r="L32" s="31"/>
      <c r="M32" s="31"/>
      <c r="N32" s="31"/>
      <c r="O32" s="31"/>
      <c r="P32" s="31"/>
      <c r="Q32" s="31"/>
      <c r="R32" s="31"/>
      <c r="S32" s="31"/>
      <c r="T32" s="31"/>
      <c r="U32" s="31"/>
      <c r="V32" s="31"/>
      <c r="W32" s="31"/>
      <c r="X32" s="31"/>
      <c r="Y32" s="31"/>
      <c r="Z32" s="31">
        <f t="shared" ref="Z32:AB32" si="15">$I32/3</f>
        <v>763000</v>
      </c>
      <c r="AA32" s="31">
        <f t="shared" si="15"/>
        <v>763000</v>
      </c>
      <c r="AB32" s="31">
        <f t="shared" si="15"/>
        <v>763000</v>
      </c>
      <c r="AC32" s="31"/>
      <c r="AD32" s="31"/>
      <c r="AE32" s="31"/>
      <c r="AF32" s="32"/>
      <c r="AG32" s="32"/>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row>
    <row r="33">
      <c r="A33" s="28" t="s">
        <v>97</v>
      </c>
      <c r="B33" s="29" t="s">
        <v>53</v>
      </c>
      <c r="C33" s="29">
        <v>4.2442654E7</v>
      </c>
      <c r="D33" s="29">
        <v>1.0000483E7</v>
      </c>
      <c r="E33" s="28" t="s">
        <v>60</v>
      </c>
      <c r="F33" s="30">
        <v>46143.0</v>
      </c>
      <c r="G33" s="30">
        <v>46234.0</v>
      </c>
      <c r="H33" s="29" t="s">
        <v>98</v>
      </c>
      <c r="I33" s="31">
        <v>2289000.0</v>
      </c>
      <c r="J33" s="31"/>
      <c r="K33" s="31"/>
      <c r="L33" s="31"/>
      <c r="M33" s="31"/>
      <c r="N33" s="31"/>
      <c r="O33" s="31"/>
      <c r="P33" s="31"/>
      <c r="Q33" s="31"/>
      <c r="R33" s="31"/>
      <c r="S33" s="31"/>
      <c r="T33" s="31"/>
      <c r="U33" s="31"/>
      <c r="V33" s="31"/>
      <c r="W33" s="31"/>
      <c r="X33" s="31"/>
      <c r="Y33" s="31"/>
      <c r="Z33" s="31">
        <f t="shared" ref="Z33:AB33" si="16">$I33/3</f>
        <v>763000</v>
      </c>
      <c r="AA33" s="31">
        <f t="shared" si="16"/>
        <v>763000</v>
      </c>
      <c r="AB33" s="31">
        <f t="shared" si="16"/>
        <v>763000</v>
      </c>
      <c r="AC33" s="31"/>
      <c r="AD33" s="31"/>
      <c r="AE33" s="31"/>
      <c r="AF33" s="32"/>
      <c r="AG33" s="32"/>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row>
    <row r="34">
      <c r="A34" s="28" t="s">
        <v>99</v>
      </c>
      <c r="B34" s="29" t="s">
        <v>53</v>
      </c>
      <c r="C34" s="29">
        <v>3.5676339E7</v>
      </c>
      <c r="D34" s="29">
        <v>1.0000477E7</v>
      </c>
      <c r="E34" s="28" t="s">
        <v>60</v>
      </c>
      <c r="F34" s="30">
        <v>46143.0</v>
      </c>
      <c r="G34" s="30">
        <v>46234.0</v>
      </c>
      <c r="H34" s="29" t="s">
        <v>100</v>
      </c>
      <c r="I34" s="31">
        <v>2289000.0</v>
      </c>
      <c r="J34" s="31"/>
      <c r="K34" s="31"/>
      <c r="L34" s="31"/>
      <c r="M34" s="31"/>
      <c r="N34" s="31"/>
      <c r="O34" s="31"/>
      <c r="P34" s="31"/>
      <c r="Q34" s="31"/>
      <c r="R34" s="31"/>
      <c r="S34" s="31"/>
      <c r="T34" s="31"/>
      <c r="U34" s="31"/>
      <c r="V34" s="31"/>
      <c r="W34" s="31"/>
      <c r="X34" s="31"/>
      <c r="Y34" s="31"/>
      <c r="Z34" s="31">
        <f t="shared" ref="Z34:AB34" si="17">$I34/3</f>
        <v>763000</v>
      </c>
      <c r="AA34" s="31">
        <f t="shared" si="17"/>
        <v>763000</v>
      </c>
      <c r="AB34" s="31">
        <f t="shared" si="17"/>
        <v>763000</v>
      </c>
      <c r="AC34" s="31"/>
      <c r="AD34" s="31"/>
      <c r="AE34" s="31"/>
      <c r="AF34" s="32"/>
      <c r="AG34" s="32"/>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row>
    <row r="35">
      <c r="A35" s="28" t="s">
        <v>101</v>
      </c>
      <c r="B35" s="29" t="s">
        <v>53</v>
      </c>
      <c r="C35" s="29">
        <v>3.2208039E7</v>
      </c>
      <c r="D35" s="29">
        <v>1.0000446E7</v>
      </c>
      <c r="E35" s="28" t="s">
        <v>60</v>
      </c>
      <c r="F35" s="30">
        <v>46143.0</v>
      </c>
      <c r="G35" s="30">
        <v>46234.0</v>
      </c>
      <c r="H35" s="29" t="s">
        <v>102</v>
      </c>
      <c r="I35" s="31">
        <v>2289000.0</v>
      </c>
      <c r="J35" s="31"/>
      <c r="K35" s="31"/>
      <c r="L35" s="31"/>
      <c r="M35" s="31"/>
      <c r="N35" s="31"/>
      <c r="O35" s="31"/>
      <c r="P35" s="31"/>
      <c r="Q35" s="31"/>
      <c r="R35" s="31"/>
      <c r="S35" s="31"/>
      <c r="T35" s="31"/>
      <c r="U35" s="31"/>
      <c r="V35" s="31"/>
      <c r="W35" s="31"/>
      <c r="X35" s="31"/>
      <c r="Y35" s="31"/>
      <c r="Z35" s="31">
        <f t="shared" ref="Z35:AB35" si="18">$I35/3</f>
        <v>763000</v>
      </c>
      <c r="AA35" s="31">
        <f t="shared" si="18"/>
        <v>763000</v>
      </c>
      <c r="AB35" s="31">
        <f t="shared" si="18"/>
        <v>763000</v>
      </c>
      <c r="AC35" s="31"/>
      <c r="AD35" s="31"/>
      <c r="AE35" s="31"/>
      <c r="AF35" s="32"/>
      <c r="AG35" s="32"/>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row>
    <row r="36">
      <c r="A36" s="28" t="s">
        <v>103</v>
      </c>
      <c r="B36" s="29" t="s">
        <v>53</v>
      </c>
      <c r="C36" s="29">
        <v>3.3825419E7</v>
      </c>
      <c r="D36" s="29">
        <v>1.0000422E7</v>
      </c>
      <c r="E36" s="28" t="s">
        <v>60</v>
      </c>
      <c r="F36" s="30">
        <v>46143.0</v>
      </c>
      <c r="G36" s="30">
        <v>46234.0</v>
      </c>
      <c r="H36" s="29" t="s">
        <v>104</v>
      </c>
      <c r="I36" s="31">
        <v>2289000.0</v>
      </c>
      <c r="J36" s="31"/>
      <c r="K36" s="31"/>
      <c r="L36" s="31"/>
      <c r="M36" s="31"/>
      <c r="N36" s="31"/>
      <c r="O36" s="31"/>
      <c r="P36" s="31"/>
      <c r="Q36" s="31"/>
      <c r="R36" s="31"/>
      <c r="S36" s="31"/>
      <c r="T36" s="31"/>
      <c r="U36" s="31"/>
      <c r="V36" s="31"/>
      <c r="W36" s="31"/>
      <c r="X36" s="31"/>
      <c r="Y36" s="31"/>
      <c r="Z36" s="31">
        <f t="shared" ref="Z36:AB36" si="19">$I36/3</f>
        <v>763000</v>
      </c>
      <c r="AA36" s="31">
        <f t="shared" si="19"/>
        <v>763000</v>
      </c>
      <c r="AB36" s="31">
        <f t="shared" si="19"/>
        <v>763000</v>
      </c>
      <c r="AC36" s="31"/>
      <c r="AD36" s="31"/>
      <c r="AE36" s="31"/>
      <c r="AF36" s="32"/>
      <c r="AG36" s="32"/>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row>
    <row r="37">
      <c r="A37" s="28" t="s">
        <v>105</v>
      </c>
      <c r="B37" s="29" t="s">
        <v>53</v>
      </c>
      <c r="C37" s="29">
        <v>3.4846605E7</v>
      </c>
      <c r="D37" s="29">
        <v>1.0000432E7</v>
      </c>
      <c r="E37" s="28" t="s">
        <v>60</v>
      </c>
      <c r="F37" s="30">
        <v>46143.0</v>
      </c>
      <c r="G37" s="30">
        <v>46234.0</v>
      </c>
      <c r="H37" s="29" t="s">
        <v>106</v>
      </c>
      <c r="I37" s="31">
        <v>2289000.0</v>
      </c>
      <c r="J37" s="31"/>
      <c r="K37" s="31"/>
      <c r="L37" s="31"/>
      <c r="M37" s="31"/>
      <c r="N37" s="31"/>
      <c r="O37" s="31"/>
      <c r="P37" s="31"/>
      <c r="Q37" s="31"/>
      <c r="R37" s="31"/>
      <c r="S37" s="31"/>
      <c r="T37" s="31"/>
      <c r="U37" s="31"/>
      <c r="V37" s="31"/>
      <c r="W37" s="31"/>
      <c r="X37" s="31"/>
      <c r="Y37" s="31"/>
      <c r="Z37" s="31">
        <f t="shared" ref="Z37:AB37" si="20">$I37/3</f>
        <v>763000</v>
      </c>
      <c r="AA37" s="31">
        <f t="shared" si="20"/>
        <v>763000</v>
      </c>
      <c r="AB37" s="31">
        <f t="shared" si="20"/>
        <v>763000</v>
      </c>
      <c r="AC37" s="31"/>
      <c r="AD37" s="31"/>
      <c r="AE37" s="31"/>
      <c r="AF37" s="32"/>
      <c r="AG37" s="32"/>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row>
    <row r="38">
      <c r="A38" s="28" t="s">
        <v>107</v>
      </c>
      <c r="B38" s="29" t="s">
        <v>53</v>
      </c>
      <c r="C38" s="29">
        <v>2.7424612E7</v>
      </c>
      <c r="D38" s="29">
        <v>1.0000447E7</v>
      </c>
      <c r="E38" s="28" t="s">
        <v>60</v>
      </c>
      <c r="F38" s="30">
        <v>46143.0</v>
      </c>
      <c r="G38" s="30">
        <v>46234.0</v>
      </c>
      <c r="H38" s="29" t="s">
        <v>108</v>
      </c>
      <c r="I38" s="31">
        <v>2289000.0</v>
      </c>
      <c r="J38" s="31"/>
      <c r="K38" s="31"/>
      <c r="L38" s="31"/>
      <c r="M38" s="31"/>
      <c r="N38" s="31"/>
      <c r="O38" s="31"/>
      <c r="P38" s="31"/>
      <c r="Q38" s="31"/>
      <c r="R38" s="31"/>
      <c r="S38" s="31"/>
      <c r="T38" s="31"/>
      <c r="U38" s="31"/>
      <c r="V38" s="31"/>
      <c r="W38" s="31"/>
      <c r="X38" s="31"/>
      <c r="Y38" s="31"/>
      <c r="Z38" s="31">
        <f t="shared" ref="Z38:AB38" si="21">$I38/3</f>
        <v>763000</v>
      </c>
      <c r="AA38" s="31">
        <f t="shared" si="21"/>
        <v>763000</v>
      </c>
      <c r="AB38" s="31">
        <f t="shared" si="21"/>
        <v>763000</v>
      </c>
      <c r="AC38" s="31"/>
      <c r="AD38" s="31"/>
      <c r="AE38" s="31"/>
      <c r="AF38" s="32"/>
      <c r="AG38" s="32"/>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row>
    <row r="39">
      <c r="A39" s="28" t="s">
        <v>109</v>
      </c>
      <c r="B39" s="29" t="s">
        <v>53</v>
      </c>
      <c r="C39" s="29">
        <v>3.1123532E7</v>
      </c>
      <c r="D39" s="29">
        <v>1.0000437E7</v>
      </c>
      <c r="E39" s="28" t="s">
        <v>60</v>
      </c>
      <c r="F39" s="30">
        <v>46143.0</v>
      </c>
      <c r="G39" s="30">
        <v>46234.0</v>
      </c>
      <c r="H39" s="29" t="s">
        <v>110</v>
      </c>
      <c r="I39" s="31">
        <v>2289000.0</v>
      </c>
      <c r="J39" s="31"/>
      <c r="K39" s="31"/>
      <c r="L39" s="31"/>
      <c r="M39" s="31"/>
      <c r="N39" s="31"/>
      <c r="O39" s="31"/>
      <c r="P39" s="31"/>
      <c r="Q39" s="31"/>
      <c r="R39" s="31"/>
      <c r="S39" s="31"/>
      <c r="T39" s="31"/>
      <c r="U39" s="31"/>
      <c r="V39" s="31"/>
      <c r="W39" s="31"/>
      <c r="X39" s="31"/>
      <c r="Y39" s="31"/>
      <c r="Z39" s="31">
        <f t="shared" ref="Z39:AB39" si="22">$I39/3</f>
        <v>763000</v>
      </c>
      <c r="AA39" s="31">
        <f t="shared" si="22"/>
        <v>763000</v>
      </c>
      <c r="AB39" s="31">
        <f t="shared" si="22"/>
        <v>763000</v>
      </c>
      <c r="AC39" s="31"/>
      <c r="AD39" s="31"/>
      <c r="AE39" s="31"/>
      <c r="AF39" s="32"/>
      <c r="AG39" s="32"/>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row>
    <row r="40">
      <c r="A40" s="28" t="s">
        <v>111</v>
      </c>
      <c r="B40" s="29" t="s">
        <v>53</v>
      </c>
      <c r="C40" s="29">
        <v>3.9991067E7</v>
      </c>
      <c r="D40" s="29">
        <v>1.0000448E7</v>
      </c>
      <c r="E40" s="28" t="s">
        <v>60</v>
      </c>
      <c r="F40" s="30">
        <v>46143.0</v>
      </c>
      <c r="G40" s="30">
        <v>46234.0</v>
      </c>
      <c r="H40" s="29" t="s">
        <v>112</v>
      </c>
      <c r="I40" s="31">
        <v>2289000.0</v>
      </c>
      <c r="J40" s="31"/>
      <c r="K40" s="31"/>
      <c r="L40" s="31"/>
      <c r="M40" s="31"/>
      <c r="N40" s="31"/>
      <c r="O40" s="31"/>
      <c r="P40" s="31"/>
      <c r="Q40" s="31"/>
      <c r="R40" s="31"/>
      <c r="S40" s="31"/>
      <c r="T40" s="31"/>
      <c r="U40" s="31"/>
      <c r="V40" s="31"/>
      <c r="W40" s="31"/>
      <c r="X40" s="31"/>
      <c r="Y40" s="31"/>
      <c r="Z40" s="31">
        <f t="shared" ref="Z40:AB40" si="23">$I40/3</f>
        <v>763000</v>
      </c>
      <c r="AA40" s="31">
        <f t="shared" si="23"/>
        <v>763000</v>
      </c>
      <c r="AB40" s="31">
        <f t="shared" si="23"/>
        <v>763000</v>
      </c>
      <c r="AC40" s="31"/>
      <c r="AD40" s="31"/>
      <c r="AE40" s="31"/>
      <c r="AF40" s="32"/>
      <c r="AG40" s="32"/>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row>
    <row r="41">
      <c r="A41" s="28" t="s">
        <v>113</v>
      </c>
      <c r="B41" s="29" t="s">
        <v>53</v>
      </c>
      <c r="C41" s="29">
        <v>2.5890231E7</v>
      </c>
      <c r="D41" s="29">
        <v>1.0000487E7</v>
      </c>
      <c r="E41" s="28" t="s">
        <v>60</v>
      </c>
      <c r="F41" s="30">
        <v>46143.0</v>
      </c>
      <c r="G41" s="30">
        <v>46234.0</v>
      </c>
      <c r="H41" s="29" t="s">
        <v>114</v>
      </c>
      <c r="I41" s="31">
        <v>2289000.0</v>
      </c>
      <c r="J41" s="31"/>
      <c r="K41" s="31"/>
      <c r="L41" s="31"/>
      <c r="M41" s="31"/>
      <c r="N41" s="31"/>
      <c r="O41" s="31"/>
      <c r="P41" s="31"/>
      <c r="Q41" s="31"/>
      <c r="R41" s="31"/>
      <c r="S41" s="31"/>
      <c r="T41" s="31"/>
      <c r="U41" s="31"/>
      <c r="V41" s="31"/>
      <c r="W41" s="31"/>
      <c r="X41" s="31"/>
      <c r="Y41" s="31"/>
      <c r="Z41" s="31">
        <f t="shared" ref="Z41:AB41" si="24">$I41/3</f>
        <v>763000</v>
      </c>
      <c r="AA41" s="31">
        <f t="shared" si="24"/>
        <v>763000</v>
      </c>
      <c r="AB41" s="31">
        <f t="shared" si="24"/>
        <v>763000</v>
      </c>
      <c r="AC41" s="31"/>
      <c r="AD41" s="31"/>
      <c r="AE41" s="31"/>
      <c r="AF41" s="32"/>
      <c r="AG41" s="32"/>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row>
    <row r="42">
      <c r="A42" s="28" t="s">
        <v>115</v>
      </c>
      <c r="B42" s="29" t="s">
        <v>53</v>
      </c>
      <c r="C42" s="29">
        <v>2.1013482E7</v>
      </c>
      <c r="D42" s="29">
        <v>1.0000462E7</v>
      </c>
      <c r="E42" s="28" t="s">
        <v>60</v>
      </c>
      <c r="F42" s="30">
        <v>46143.0</v>
      </c>
      <c r="G42" s="30">
        <v>46234.0</v>
      </c>
      <c r="H42" s="29" t="s">
        <v>116</v>
      </c>
      <c r="I42" s="31">
        <v>4578000.0</v>
      </c>
      <c r="J42" s="31"/>
      <c r="K42" s="31"/>
      <c r="L42" s="31"/>
      <c r="M42" s="31"/>
      <c r="N42" s="31"/>
      <c r="O42" s="31"/>
      <c r="P42" s="31"/>
      <c r="Q42" s="31"/>
      <c r="R42" s="31"/>
      <c r="S42" s="31"/>
      <c r="T42" s="31"/>
      <c r="U42" s="31"/>
      <c r="V42" s="31"/>
      <c r="W42" s="31"/>
      <c r="X42" s="31"/>
      <c r="Y42" s="31"/>
      <c r="Z42" s="31">
        <f t="shared" ref="Z42:AB42" si="25">$I42/3</f>
        <v>1526000</v>
      </c>
      <c r="AA42" s="31">
        <f t="shared" si="25"/>
        <v>1526000</v>
      </c>
      <c r="AB42" s="31">
        <f t="shared" si="25"/>
        <v>1526000</v>
      </c>
      <c r="AC42" s="31"/>
      <c r="AD42" s="31"/>
      <c r="AE42" s="31"/>
      <c r="AF42" s="32"/>
      <c r="AG42" s="32"/>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row>
    <row r="43">
      <c r="A43" s="28" t="s">
        <v>117</v>
      </c>
      <c r="B43" s="29" t="s">
        <v>53</v>
      </c>
      <c r="C43" s="29">
        <v>3.441468E7</v>
      </c>
      <c r="D43" s="29">
        <v>1.000046E7</v>
      </c>
      <c r="E43" s="28" t="s">
        <v>60</v>
      </c>
      <c r="F43" s="30">
        <v>46143.0</v>
      </c>
      <c r="G43" s="30">
        <v>46234.0</v>
      </c>
      <c r="H43" s="29" t="s">
        <v>118</v>
      </c>
      <c r="I43" s="31">
        <v>2289000.0</v>
      </c>
      <c r="J43" s="31"/>
      <c r="K43" s="31"/>
      <c r="L43" s="31"/>
      <c r="M43" s="31"/>
      <c r="N43" s="31"/>
      <c r="O43" s="31"/>
      <c r="P43" s="31"/>
      <c r="Q43" s="31"/>
      <c r="R43" s="31"/>
      <c r="S43" s="31"/>
      <c r="T43" s="31"/>
      <c r="U43" s="31"/>
      <c r="V43" s="31"/>
      <c r="W43" s="31"/>
      <c r="X43" s="31"/>
      <c r="Y43" s="31"/>
      <c r="Z43" s="31">
        <f t="shared" ref="Z43:AB43" si="26">$I43/3</f>
        <v>763000</v>
      </c>
      <c r="AA43" s="31">
        <f t="shared" si="26"/>
        <v>763000</v>
      </c>
      <c r="AB43" s="31">
        <f t="shared" si="26"/>
        <v>763000</v>
      </c>
      <c r="AC43" s="31"/>
      <c r="AD43" s="31"/>
      <c r="AE43" s="31"/>
      <c r="AF43" s="32"/>
      <c r="AG43" s="32"/>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row>
    <row r="44">
      <c r="A44" s="28" t="s">
        <v>119</v>
      </c>
      <c r="B44" s="29" t="s">
        <v>53</v>
      </c>
      <c r="C44" s="29">
        <v>3.8477723E7</v>
      </c>
      <c r="D44" s="29">
        <v>1.0000427E7</v>
      </c>
      <c r="E44" s="28" t="s">
        <v>60</v>
      </c>
      <c r="F44" s="30">
        <v>46143.0</v>
      </c>
      <c r="G44" s="30">
        <v>46234.0</v>
      </c>
      <c r="H44" s="29" t="s">
        <v>120</v>
      </c>
      <c r="I44" s="31">
        <v>2289000.0</v>
      </c>
      <c r="J44" s="31"/>
      <c r="K44" s="31"/>
      <c r="L44" s="31"/>
      <c r="M44" s="31"/>
      <c r="N44" s="31"/>
      <c r="O44" s="31"/>
      <c r="P44" s="31"/>
      <c r="Q44" s="31"/>
      <c r="R44" s="31"/>
      <c r="S44" s="31"/>
      <c r="T44" s="31"/>
      <c r="U44" s="31"/>
      <c r="V44" s="31"/>
      <c r="W44" s="31"/>
      <c r="X44" s="31"/>
      <c r="Y44" s="31"/>
      <c r="Z44" s="31">
        <f t="shared" ref="Z44:AB44" si="27">$I44/3</f>
        <v>763000</v>
      </c>
      <c r="AA44" s="31">
        <f t="shared" si="27"/>
        <v>763000</v>
      </c>
      <c r="AB44" s="31">
        <f t="shared" si="27"/>
        <v>763000</v>
      </c>
      <c r="AC44" s="31"/>
      <c r="AD44" s="31"/>
      <c r="AE44" s="31"/>
      <c r="AF44" s="32"/>
      <c r="AG44" s="32"/>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row>
    <row r="45">
      <c r="A45" s="28" t="s">
        <v>121</v>
      </c>
      <c r="B45" s="29" t="s">
        <v>53</v>
      </c>
      <c r="C45" s="29">
        <v>4.1483181E7</v>
      </c>
      <c r="D45" s="29">
        <v>1.000043E7</v>
      </c>
      <c r="E45" s="28" t="s">
        <v>60</v>
      </c>
      <c r="F45" s="30">
        <v>46143.0</v>
      </c>
      <c r="G45" s="30">
        <v>46234.0</v>
      </c>
      <c r="H45" s="29" t="s">
        <v>122</v>
      </c>
      <c r="I45" s="31">
        <v>2289000.0</v>
      </c>
      <c r="J45" s="31"/>
      <c r="K45" s="31"/>
      <c r="L45" s="31"/>
      <c r="M45" s="31"/>
      <c r="N45" s="31"/>
      <c r="O45" s="31"/>
      <c r="P45" s="31"/>
      <c r="Q45" s="31"/>
      <c r="R45" s="31"/>
      <c r="S45" s="31"/>
      <c r="T45" s="31"/>
      <c r="U45" s="31"/>
      <c r="V45" s="31"/>
      <c r="W45" s="31"/>
      <c r="X45" s="31"/>
      <c r="Y45" s="31"/>
      <c r="Z45" s="31">
        <f t="shared" ref="Z45:AB45" si="28">$I45/3</f>
        <v>763000</v>
      </c>
      <c r="AA45" s="31">
        <f t="shared" si="28"/>
        <v>763000</v>
      </c>
      <c r="AB45" s="31">
        <f t="shared" si="28"/>
        <v>763000</v>
      </c>
      <c r="AC45" s="31"/>
      <c r="AD45" s="31"/>
      <c r="AE45" s="31"/>
      <c r="AF45" s="32"/>
      <c r="AG45" s="32"/>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row>
    <row r="46">
      <c r="A46" s="28" t="s">
        <v>123</v>
      </c>
      <c r="B46" s="29" t="s">
        <v>53</v>
      </c>
      <c r="C46" s="29">
        <v>3.527975E7</v>
      </c>
      <c r="D46" s="29">
        <v>1.0000514E7</v>
      </c>
      <c r="E46" s="28" t="s">
        <v>60</v>
      </c>
      <c r="F46" s="30">
        <v>46143.0</v>
      </c>
      <c r="G46" s="30">
        <v>46234.0</v>
      </c>
      <c r="H46" s="29" t="s">
        <v>124</v>
      </c>
      <c r="I46" s="31">
        <v>2289000.0</v>
      </c>
      <c r="J46" s="31"/>
      <c r="K46" s="31"/>
      <c r="L46" s="31"/>
      <c r="M46" s="31"/>
      <c r="N46" s="31"/>
      <c r="O46" s="31"/>
      <c r="P46" s="31"/>
      <c r="Q46" s="31"/>
      <c r="R46" s="31"/>
      <c r="S46" s="31"/>
      <c r="T46" s="31"/>
      <c r="U46" s="31"/>
      <c r="V46" s="31"/>
      <c r="W46" s="31"/>
      <c r="X46" s="31"/>
      <c r="Y46" s="31"/>
      <c r="Z46" s="31">
        <f t="shared" ref="Z46:AB46" si="29">$I46/3</f>
        <v>763000</v>
      </c>
      <c r="AA46" s="31">
        <f t="shared" si="29"/>
        <v>763000</v>
      </c>
      <c r="AB46" s="31">
        <f t="shared" si="29"/>
        <v>763000</v>
      </c>
      <c r="AC46" s="31"/>
      <c r="AD46" s="31"/>
      <c r="AE46" s="31"/>
      <c r="AF46" s="32"/>
      <c r="AG46" s="32"/>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c r="A47" s="28" t="s">
        <v>125</v>
      </c>
      <c r="B47" s="29" t="s">
        <v>53</v>
      </c>
      <c r="C47" s="29">
        <v>2.7795911E7</v>
      </c>
      <c r="D47" s="29">
        <v>1.0000453E7</v>
      </c>
      <c r="E47" s="28" t="s">
        <v>60</v>
      </c>
      <c r="F47" s="30">
        <v>46143.0</v>
      </c>
      <c r="G47" s="30">
        <v>46234.0</v>
      </c>
      <c r="H47" s="29" t="s">
        <v>126</v>
      </c>
      <c r="I47" s="31">
        <v>4578000.0</v>
      </c>
      <c r="J47" s="31"/>
      <c r="K47" s="31"/>
      <c r="L47" s="31"/>
      <c r="M47" s="31"/>
      <c r="N47" s="31"/>
      <c r="O47" s="31"/>
      <c r="P47" s="31"/>
      <c r="Q47" s="31"/>
      <c r="R47" s="31"/>
      <c r="S47" s="31"/>
      <c r="T47" s="31"/>
      <c r="U47" s="31"/>
      <c r="V47" s="31"/>
      <c r="W47" s="31"/>
      <c r="X47" s="31"/>
      <c r="Y47" s="31"/>
      <c r="Z47" s="31">
        <f t="shared" ref="Z47:AB47" si="30">$I47/3</f>
        <v>1526000</v>
      </c>
      <c r="AA47" s="31">
        <f t="shared" si="30"/>
        <v>1526000</v>
      </c>
      <c r="AB47" s="31">
        <f t="shared" si="30"/>
        <v>1526000</v>
      </c>
      <c r="AC47" s="31"/>
      <c r="AD47" s="31"/>
      <c r="AE47" s="31"/>
      <c r="AF47" s="32"/>
      <c r="AG47" s="32"/>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row>
    <row r="48">
      <c r="A48" s="28" t="s">
        <v>127</v>
      </c>
      <c r="B48" s="29" t="s">
        <v>53</v>
      </c>
      <c r="C48" s="29">
        <v>3.9394977E7</v>
      </c>
      <c r="D48" s="29">
        <v>1.000044E7</v>
      </c>
      <c r="E48" s="28" t="s">
        <v>60</v>
      </c>
      <c r="F48" s="30">
        <v>46143.0</v>
      </c>
      <c r="G48" s="30">
        <v>46234.0</v>
      </c>
      <c r="H48" s="29" t="s">
        <v>128</v>
      </c>
      <c r="I48" s="31">
        <v>4578000.0</v>
      </c>
      <c r="J48" s="31"/>
      <c r="K48" s="31"/>
      <c r="L48" s="31"/>
      <c r="M48" s="31"/>
      <c r="N48" s="31"/>
      <c r="O48" s="31"/>
      <c r="P48" s="31"/>
      <c r="Q48" s="31"/>
      <c r="R48" s="31"/>
      <c r="S48" s="31"/>
      <c r="T48" s="31"/>
      <c r="U48" s="31"/>
      <c r="V48" s="31"/>
      <c r="W48" s="31"/>
      <c r="X48" s="31"/>
      <c r="Y48" s="31"/>
      <c r="Z48" s="31">
        <f t="shared" ref="Z48:AB48" si="31">$I48/3</f>
        <v>1526000</v>
      </c>
      <c r="AA48" s="31">
        <f t="shared" si="31"/>
        <v>1526000</v>
      </c>
      <c r="AB48" s="31">
        <f t="shared" si="31"/>
        <v>1526000</v>
      </c>
      <c r="AC48" s="31"/>
      <c r="AD48" s="31"/>
      <c r="AE48" s="31"/>
      <c r="AF48" s="32"/>
      <c r="AG48" s="32"/>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row>
    <row r="49">
      <c r="A49" s="28" t="s">
        <v>129</v>
      </c>
      <c r="B49" s="29" t="s">
        <v>53</v>
      </c>
      <c r="C49" s="29">
        <v>2.9833774E7</v>
      </c>
      <c r="D49" s="29">
        <v>1.0000508E7</v>
      </c>
      <c r="E49" s="28" t="s">
        <v>60</v>
      </c>
      <c r="F49" s="30">
        <v>46143.0</v>
      </c>
      <c r="G49" s="30">
        <v>46234.0</v>
      </c>
      <c r="H49" s="29" t="s">
        <v>130</v>
      </c>
      <c r="I49" s="31">
        <v>2289000.0</v>
      </c>
      <c r="J49" s="31"/>
      <c r="K49" s="31"/>
      <c r="L49" s="31"/>
      <c r="M49" s="31"/>
      <c r="N49" s="31"/>
      <c r="O49" s="31"/>
      <c r="P49" s="31"/>
      <c r="Q49" s="31"/>
      <c r="R49" s="31"/>
      <c r="S49" s="31"/>
      <c r="T49" s="31"/>
      <c r="U49" s="31"/>
      <c r="V49" s="31"/>
      <c r="W49" s="31"/>
      <c r="X49" s="31"/>
      <c r="Y49" s="31"/>
      <c r="Z49" s="31">
        <f t="shared" ref="Z49:AB49" si="32">$I49/3</f>
        <v>763000</v>
      </c>
      <c r="AA49" s="31">
        <f t="shared" si="32"/>
        <v>763000</v>
      </c>
      <c r="AB49" s="31">
        <f t="shared" si="32"/>
        <v>763000</v>
      </c>
      <c r="AC49" s="31"/>
      <c r="AD49" s="31"/>
      <c r="AE49" s="31"/>
      <c r="AF49" s="32"/>
      <c r="AG49" s="32"/>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c r="A50" s="28" t="s">
        <v>131</v>
      </c>
      <c r="B50" s="29" t="s">
        <v>53</v>
      </c>
      <c r="C50" s="29">
        <v>2.1757877E7</v>
      </c>
      <c r="D50" s="29">
        <v>1.0000471E7</v>
      </c>
      <c r="E50" s="28" t="s">
        <v>60</v>
      </c>
      <c r="F50" s="30">
        <v>46143.0</v>
      </c>
      <c r="G50" s="30">
        <v>46234.0</v>
      </c>
      <c r="H50" s="29" t="s">
        <v>132</v>
      </c>
      <c r="I50" s="31">
        <v>2289000.0</v>
      </c>
      <c r="J50" s="31"/>
      <c r="K50" s="31"/>
      <c r="L50" s="31"/>
      <c r="M50" s="31"/>
      <c r="N50" s="31"/>
      <c r="O50" s="31"/>
      <c r="P50" s="31"/>
      <c r="Q50" s="31"/>
      <c r="R50" s="31"/>
      <c r="S50" s="31"/>
      <c r="T50" s="31"/>
      <c r="U50" s="31"/>
      <c r="V50" s="31"/>
      <c r="W50" s="31"/>
      <c r="X50" s="31"/>
      <c r="Y50" s="31"/>
      <c r="Z50" s="31">
        <f t="shared" ref="Z50:AB50" si="33">$I50/3</f>
        <v>763000</v>
      </c>
      <c r="AA50" s="31">
        <f t="shared" si="33"/>
        <v>763000</v>
      </c>
      <c r="AB50" s="31">
        <f t="shared" si="33"/>
        <v>763000</v>
      </c>
      <c r="AC50" s="31"/>
      <c r="AD50" s="31"/>
      <c r="AE50" s="31"/>
      <c r="AF50" s="32"/>
      <c r="AG50" s="32"/>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row>
    <row r="51">
      <c r="A51" s="28" t="s">
        <v>133</v>
      </c>
      <c r="B51" s="29" t="s">
        <v>53</v>
      </c>
      <c r="C51" s="29">
        <v>2.8208691E7</v>
      </c>
      <c r="D51" s="29">
        <v>1.0000465E7</v>
      </c>
      <c r="E51" s="28" t="s">
        <v>60</v>
      </c>
      <c r="F51" s="30">
        <v>46143.0</v>
      </c>
      <c r="G51" s="30">
        <v>46234.0</v>
      </c>
      <c r="H51" s="29" t="s">
        <v>134</v>
      </c>
      <c r="I51" s="31">
        <v>2289000.0</v>
      </c>
      <c r="J51" s="31"/>
      <c r="K51" s="31"/>
      <c r="L51" s="31"/>
      <c r="M51" s="31"/>
      <c r="N51" s="31"/>
      <c r="O51" s="31"/>
      <c r="P51" s="31"/>
      <c r="Q51" s="31"/>
      <c r="R51" s="31"/>
      <c r="S51" s="31"/>
      <c r="T51" s="31"/>
      <c r="U51" s="31"/>
      <c r="V51" s="31"/>
      <c r="W51" s="31"/>
      <c r="X51" s="31"/>
      <c r="Y51" s="31"/>
      <c r="Z51" s="31">
        <f t="shared" ref="Z51:AB51" si="34">$I51/3</f>
        <v>763000</v>
      </c>
      <c r="AA51" s="31">
        <f t="shared" si="34"/>
        <v>763000</v>
      </c>
      <c r="AB51" s="31">
        <f t="shared" si="34"/>
        <v>763000</v>
      </c>
      <c r="AC51" s="31"/>
      <c r="AD51" s="31"/>
      <c r="AE51" s="31"/>
      <c r="AF51" s="32"/>
      <c r="AG51" s="32"/>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row>
    <row r="52">
      <c r="A52" s="28" t="s">
        <v>135</v>
      </c>
      <c r="B52" s="29" t="s">
        <v>53</v>
      </c>
      <c r="C52" s="29">
        <v>2.4783336E7</v>
      </c>
      <c r="D52" s="29">
        <v>1.0000479E7</v>
      </c>
      <c r="E52" s="28" t="s">
        <v>60</v>
      </c>
      <c r="F52" s="30">
        <v>46143.0</v>
      </c>
      <c r="G52" s="30">
        <v>46234.0</v>
      </c>
      <c r="H52" s="29" t="s">
        <v>136</v>
      </c>
      <c r="I52" s="31">
        <v>2289000.0</v>
      </c>
      <c r="J52" s="31"/>
      <c r="K52" s="31"/>
      <c r="L52" s="31"/>
      <c r="M52" s="31"/>
      <c r="N52" s="31"/>
      <c r="O52" s="31"/>
      <c r="P52" s="31"/>
      <c r="Q52" s="31"/>
      <c r="R52" s="31"/>
      <c r="S52" s="31"/>
      <c r="T52" s="31"/>
      <c r="U52" s="31"/>
      <c r="V52" s="31"/>
      <c r="W52" s="31"/>
      <c r="X52" s="31"/>
      <c r="Y52" s="31"/>
      <c r="Z52" s="31">
        <f t="shared" ref="Z52:AB52" si="35">$I52/3</f>
        <v>763000</v>
      </c>
      <c r="AA52" s="31">
        <f t="shared" si="35"/>
        <v>763000</v>
      </c>
      <c r="AB52" s="31">
        <f t="shared" si="35"/>
        <v>763000</v>
      </c>
      <c r="AC52" s="31"/>
      <c r="AD52" s="31"/>
      <c r="AE52" s="31"/>
      <c r="AF52" s="32"/>
      <c r="AG52" s="32"/>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row>
    <row r="53">
      <c r="A53" s="28" t="s">
        <v>137</v>
      </c>
      <c r="B53" s="29" t="s">
        <v>53</v>
      </c>
      <c r="C53" s="29">
        <v>2.6728351E7</v>
      </c>
      <c r="D53" s="29">
        <v>1.0000433E7</v>
      </c>
      <c r="E53" s="28" t="s">
        <v>60</v>
      </c>
      <c r="F53" s="30">
        <v>46143.0</v>
      </c>
      <c r="G53" s="30">
        <v>46234.0</v>
      </c>
      <c r="H53" s="29" t="s">
        <v>138</v>
      </c>
      <c r="I53" s="31">
        <v>4578000.0</v>
      </c>
      <c r="J53" s="31"/>
      <c r="K53" s="31"/>
      <c r="L53" s="31"/>
      <c r="M53" s="31"/>
      <c r="N53" s="31"/>
      <c r="O53" s="31"/>
      <c r="P53" s="31"/>
      <c r="Q53" s="31"/>
      <c r="R53" s="31"/>
      <c r="S53" s="31"/>
      <c r="T53" s="31"/>
      <c r="U53" s="31"/>
      <c r="V53" s="31"/>
      <c r="W53" s="31"/>
      <c r="X53" s="31"/>
      <c r="Y53" s="31"/>
      <c r="Z53" s="31">
        <f t="shared" ref="Z53:AB53" si="36">$I53/3</f>
        <v>1526000</v>
      </c>
      <c r="AA53" s="31">
        <f t="shared" si="36"/>
        <v>1526000</v>
      </c>
      <c r="AB53" s="31">
        <f t="shared" si="36"/>
        <v>1526000</v>
      </c>
      <c r="AC53" s="31"/>
      <c r="AD53" s="31"/>
      <c r="AE53" s="31"/>
      <c r="AF53" s="32"/>
      <c r="AG53" s="32"/>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row>
    <row r="54">
      <c r="A54" s="28" t="s">
        <v>139</v>
      </c>
      <c r="B54" s="29" t="s">
        <v>53</v>
      </c>
      <c r="C54" s="29">
        <v>3.8018093E7</v>
      </c>
      <c r="D54" s="29">
        <v>1.0000449E7</v>
      </c>
      <c r="E54" s="28" t="s">
        <v>60</v>
      </c>
      <c r="F54" s="30">
        <v>46143.0</v>
      </c>
      <c r="G54" s="30">
        <v>46234.0</v>
      </c>
      <c r="H54" s="29" t="s">
        <v>140</v>
      </c>
      <c r="I54" s="31">
        <v>4578000.0</v>
      </c>
      <c r="J54" s="31"/>
      <c r="K54" s="31"/>
      <c r="L54" s="31"/>
      <c r="M54" s="31"/>
      <c r="N54" s="31"/>
      <c r="O54" s="31"/>
      <c r="P54" s="31"/>
      <c r="Q54" s="31"/>
      <c r="R54" s="31"/>
      <c r="S54" s="31"/>
      <c r="T54" s="31"/>
      <c r="U54" s="31"/>
      <c r="V54" s="31"/>
      <c r="W54" s="31"/>
      <c r="X54" s="31"/>
      <c r="Y54" s="31"/>
      <c r="Z54" s="31">
        <f t="shared" ref="Z54:AB54" si="37">$I54/3</f>
        <v>1526000</v>
      </c>
      <c r="AA54" s="31">
        <f t="shared" si="37"/>
        <v>1526000</v>
      </c>
      <c r="AB54" s="31">
        <f t="shared" si="37"/>
        <v>1526000</v>
      </c>
      <c r="AC54" s="31"/>
      <c r="AD54" s="31"/>
      <c r="AE54" s="31"/>
      <c r="AF54" s="32"/>
      <c r="AG54" s="32"/>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row>
    <row r="55">
      <c r="A55" s="28" t="s">
        <v>141</v>
      </c>
      <c r="B55" s="29" t="s">
        <v>53</v>
      </c>
      <c r="C55" s="29">
        <v>4.2861431E7</v>
      </c>
      <c r="D55" s="29">
        <v>1.0000478E7</v>
      </c>
      <c r="E55" s="28" t="s">
        <v>60</v>
      </c>
      <c r="F55" s="30">
        <v>46143.0</v>
      </c>
      <c r="G55" s="30">
        <v>46234.0</v>
      </c>
      <c r="H55" s="29" t="s">
        <v>142</v>
      </c>
      <c r="I55" s="31">
        <v>2289000.0</v>
      </c>
      <c r="J55" s="31"/>
      <c r="K55" s="31"/>
      <c r="L55" s="31"/>
      <c r="M55" s="31"/>
      <c r="N55" s="31"/>
      <c r="O55" s="31"/>
      <c r="P55" s="31"/>
      <c r="Q55" s="31"/>
      <c r="R55" s="31"/>
      <c r="S55" s="31"/>
      <c r="T55" s="31"/>
      <c r="U55" s="31"/>
      <c r="V55" s="31"/>
      <c r="W55" s="31"/>
      <c r="X55" s="31"/>
      <c r="Y55" s="31"/>
      <c r="Z55" s="31">
        <f t="shared" ref="Z55:AB55" si="38">$I55/3</f>
        <v>763000</v>
      </c>
      <c r="AA55" s="31">
        <f t="shared" si="38"/>
        <v>763000</v>
      </c>
      <c r="AB55" s="31">
        <f t="shared" si="38"/>
        <v>763000</v>
      </c>
      <c r="AC55" s="31"/>
      <c r="AD55" s="31"/>
      <c r="AE55" s="31"/>
      <c r="AF55" s="32"/>
      <c r="AG55" s="32"/>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row>
    <row r="56">
      <c r="A56" s="28" t="s">
        <v>143</v>
      </c>
      <c r="B56" s="29" t="s">
        <v>53</v>
      </c>
      <c r="C56" s="29">
        <v>2.6855339E7</v>
      </c>
      <c r="D56" s="29">
        <v>1.0000472E7</v>
      </c>
      <c r="E56" s="28" t="s">
        <v>60</v>
      </c>
      <c r="F56" s="30">
        <v>46143.0</v>
      </c>
      <c r="G56" s="30">
        <v>46234.0</v>
      </c>
      <c r="H56" s="29" t="s">
        <v>144</v>
      </c>
      <c r="I56" s="31">
        <v>2289000.0</v>
      </c>
      <c r="J56" s="31"/>
      <c r="K56" s="31"/>
      <c r="L56" s="31"/>
      <c r="M56" s="31"/>
      <c r="N56" s="31"/>
      <c r="O56" s="31"/>
      <c r="P56" s="31"/>
      <c r="Q56" s="31"/>
      <c r="R56" s="31"/>
      <c r="S56" s="31"/>
      <c r="T56" s="31"/>
      <c r="U56" s="31"/>
      <c r="V56" s="31"/>
      <c r="W56" s="31"/>
      <c r="X56" s="31"/>
      <c r="Y56" s="31"/>
      <c r="Z56" s="31">
        <f t="shared" ref="Z56:AB56" si="39">$I56/3</f>
        <v>763000</v>
      </c>
      <c r="AA56" s="31">
        <f t="shared" si="39"/>
        <v>763000</v>
      </c>
      <c r="AB56" s="31">
        <f t="shared" si="39"/>
        <v>763000</v>
      </c>
      <c r="AC56" s="31"/>
      <c r="AD56" s="31"/>
      <c r="AE56" s="31"/>
      <c r="AF56" s="32"/>
      <c r="AG56" s="32"/>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row>
    <row r="57">
      <c r="A57" s="28" t="s">
        <v>145</v>
      </c>
      <c r="B57" s="29" t="s">
        <v>53</v>
      </c>
      <c r="C57" s="29">
        <v>2.4783355E7</v>
      </c>
      <c r="D57" s="29">
        <v>1.0000454E7</v>
      </c>
      <c r="E57" s="28" t="s">
        <v>60</v>
      </c>
      <c r="F57" s="30">
        <v>46143.0</v>
      </c>
      <c r="G57" s="30">
        <v>46234.0</v>
      </c>
      <c r="H57" s="29" t="s">
        <v>146</v>
      </c>
      <c r="I57" s="31">
        <v>4578000.0</v>
      </c>
      <c r="J57" s="31"/>
      <c r="K57" s="31"/>
      <c r="L57" s="31"/>
      <c r="M57" s="31"/>
      <c r="N57" s="31"/>
      <c r="O57" s="31"/>
      <c r="P57" s="31"/>
      <c r="Q57" s="31"/>
      <c r="R57" s="31"/>
      <c r="S57" s="31"/>
      <c r="T57" s="31"/>
      <c r="U57" s="31"/>
      <c r="V57" s="31"/>
      <c r="W57" s="31"/>
      <c r="X57" s="31"/>
      <c r="Y57" s="31"/>
      <c r="Z57" s="31">
        <f t="shared" ref="Z57:AB57" si="40">$I57/3</f>
        <v>1526000</v>
      </c>
      <c r="AA57" s="31">
        <f t="shared" si="40"/>
        <v>1526000</v>
      </c>
      <c r="AB57" s="31">
        <f t="shared" si="40"/>
        <v>1526000</v>
      </c>
      <c r="AC57" s="31"/>
      <c r="AD57" s="31"/>
      <c r="AE57" s="31"/>
      <c r="AF57" s="32"/>
      <c r="AG57" s="32"/>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row>
    <row r="58">
      <c r="A58" s="28" t="s">
        <v>147</v>
      </c>
      <c r="B58" s="29" t="s">
        <v>53</v>
      </c>
      <c r="C58" s="29">
        <v>2.7523066E7</v>
      </c>
      <c r="D58" s="29">
        <v>1.0000445E7</v>
      </c>
      <c r="E58" s="28" t="s">
        <v>60</v>
      </c>
      <c r="F58" s="30">
        <v>46143.0</v>
      </c>
      <c r="G58" s="30">
        <v>46234.0</v>
      </c>
      <c r="H58" s="29" t="s">
        <v>148</v>
      </c>
      <c r="I58" s="31">
        <v>2289000.0</v>
      </c>
      <c r="J58" s="31"/>
      <c r="K58" s="31"/>
      <c r="L58" s="31"/>
      <c r="M58" s="31"/>
      <c r="N58" s="31"/>
      <c r="O58" s="31"/>
      <c r="P58" s="31"/>
      <c r="Q58" s="31"/>
      <c r="R58" s="31"/>
      <c r="S58" s="31"/>
      <c r="T58" s="31"/>
      <c r="U58" s="31"/>
      <c r="V58" s="31"/>
      <c r="W58" s="31"/>
      <c r="X58" s="31"/>
      <c r="Y58" s="31"/>
      <c r="Z58" s="31">
        <f t="shared" ref="Z58:AB58" si="41">$I58/3</f>
        <v>763000</v>
      </c>
      <c r="AA58" s="31">
        <f t="shared" si="41"/>
        <v>763000</v>
      </c>
      <c r="AB58" s="31">
        <f t="shared" si="41"/>
        <v>763000</v>
      </c>
      <c r="AC58" s="31"/>
      <c r="AD58" s="31"/>
      <c r="AE58" s="31"/>
      <c r="AF58" s="32"/>
      <c r="AG58" s="32"/>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row>
    <row r="59">
      <c r="A59" s="28" t="s">
        <v>149</v>
      </c>
      <c r="B59" s="29" t="s">
        <v>53</v>
      </c>
      <c r="C59" s="29">
        <v>3.5472055E7</v>
      </c>
      <c r="D59" s="29">
        <v>1.0000426E7</v>
      </c>
      <c r="E59" s="28" t="s">
        <v>60</v>
      </c>
      <c r="F59" s="30">
        <v>46143.0</v>
      </c>
      <c r="G59" s="30">
        <v>46326.0</v>
      </c>
      <c r="H59" s="29" t="s">
        <v>150</v>
      </c>
      <c r="I59" s="31">
        <v>9156000.0</v>
      </c>
      <c r="J59" s="31"/>
      <c r="K59" s="31"/>
      <c r="L59" s="31"/>
      <c r="M59" s="31"/>
      <c r="N59" s="31"/>
      <c r="O59" s="31"/>
      <c r="P59" s="31"/>
      <c r="Q59" s="31"/>
      <c r="R59" s="31"/>
      <c r="S59" s="31"/>
      <c r="T59" s="31"/>
      <c r="U59" s="31"/>
      <c r="V59" s="31"/>
      <c r="W59" s="31"/>
      <c r="X59" s="31"/>
      <c r="Y59" s="31"/>
      <c r="Z59" s="31">
        <f t="shared" ref="Z59:AE59" si="42">$I59/6</f>
        <v>1526000</v>
      </c>
      <c r="AA59" s="31">
        <f t="shared" si="42"/>
        <v>1526000</v>
      </c>
      <c r="AB59" s="31">
        <f t="shared" si="42"/>
        <v>1526000</v>
      </c>
      <c r="AC59" s="31">
        <f t="shared" si="42"/>
        <v>1526000</v>
      </c>
      <c r="AD59" s="31">
        <f t="shared" si="42"/>
        <v>1526000</v>
      </c>
      <c r="AE59" s="31">
        <f t="shared" si="42"/>
        <v>1526000</v>
      </c>
      <c r="AF59" s="32"/>
      <c r="AG59" s="32"/>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row>
    <row r="60">
      <c r="A60" s="28" t="s">
        <v>151</v>
      </c>
      <c r="B60" s="29" t="s">
        <v>53</v>
      </c>
      <c r="C60" s="29">
        <v>3.2680349E7</v>
      </c>
      <c r="D60" s="29">
        <v>1.0000409E7</v>
      </c>
      <c r="E60" s="28" t="s">
        <v>60</v>
      </c>
      <c r="F60" s="30">
        <v>46143.0</v>
      </c>
      <c r="G60" s="30">
        <v>46326.0</v>
      </c>
      <c r="H60" s="29" t="s">
        <v>152</v>
      </c>
      <c r="I60" s="31">
        <v>5556000.0</v>
      </c>
      <c r="J60" s="31"/>
      <c r="K60" s="31"/>
      <c r="L60" s="31"/>
      <c r="M60" s="31"/>
      <c r="N60" s="31"/>
      <c r="O60" s="31"/>
      <c r="P60" s="31"/>
      <c r="Q60" s="31"/>
      <c r="R60" s="31"/>
      <c r="S60" s="31"/>
      <c r="T60" s="31"/>
      <c r="U60" s="31"/>
      <c r="V60" s="31"/>
      <c r="W60" s="31"/>
      <c r="X60" s="31"/>
      <c r="Y60" s="31"/>
      <c r="Z60" s="31">
        <f t="shared" ref="Z60:AE60" si="43">$I60/6</f>
        <v>926000</v>
      </c>
      <c r="AA60" s="31">
        <f t="shared" si="43"/>
        <v>926000</v>
      </c>
      <c r="AB60" s="31">
        <f t="shared" si="43"/>
        <v>926000</v>
      </c>
      <c r="AC60" s="31">
        <f t="shared" si="43"/>
        <v>926000</v>
      </c>
      <c r="AD60" s="31">
        <f t="shared" si="43"/>
        <v>926000</v>
      </c>
      <c r="AE60" s="31">
        <f t="shared" si="43"/>
        <v>926000</v>
      </c>
      <c r="AF60" s="32"/>
      <c r="AG60" s="32"/>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row>
    <row r="61">
      <c r="A61" s="28" t="s">
        <v>153</v>
      </c>
      <c r="B61" s="29" t="s">
        <v>53</v>
      </c>
      <c r="C61" s="29">
        <v>3.9026625E7</v>
      </c>
      <c r="D61" s="29">
        <v>1.0000403E7</v>
      </c>
      <c r="E61" s="28" t="s">
        <v>60</v>
      </c>
      <c r="F61" s="30">
        <v>46143.0</v>
      </c>
      <c r="G61" s="30">
        <v>46326.0</v>
      </c>
      <c r="H61" s="29" t="s">
        <v>154</v>
      </c>
      <c r="I61" s="31">
        <v>9156000.0</v>
      </c>
      <c r="J61" s="31"/>
      <c r="K61" s="31"/>
      <c r="L61" s="31"/>
      <c r="M61" s="31"/>
      <c r="N61" s="31"/>
      <c r="O61" s="31"/>
      <c r="P61" s="31"/>
      <c r="Q61" s="31"/>
      <c r="R61" s="31"/>
      <c r="S61" s="31"/>
      <c r="T61" s="31"/>
      <c r="U61" s="31"/>
      <c r="V61" s="31"/>
      <c r="W61" s="31"/>
      <c r="X61" s="31"/>
      <c r="Y61" s="31"/>
      <c r="Z61" s="31">
        <f t="shared" ref="Z61:AE61" si="44">$I61/6</f>
        <v>1526000</v>
      </c>
      <c r="AA61" s="31">
        <f t="shared" si="44"/>
        <v>1526000</v>
      </c>
      <c r="AB61" s="31">
        <f t="shared" si="44"/>
        <v>1526000</v>
      </c>
      <c r="AC61" s="31">
        <f t="shared" si="44"/>
        <v>1526000</v>
      </c>
      <c r="AD61" s="31">
        <f t="shared" si="44"/>
        <v>1526000</v>
      </c>
      <c r="AE61" s="31">
        <f t="shared" si="44"/>
        <v>1526000</v>
      </c>
      <c r="AF61" s="32"/>
      <c r="AG61" s="32"/>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row>
    <row r="62">
      <c r="A62" s="28" t="s">
        <v>155</v>
      </c>
      <c r="B62" s="29" t="s">
        <v>53</v>
      </c>
      <c r="C62" s="29">
        <v>3.2097861E7</v>
      </c>
      <c r="D62" s="29">
        <v>1.0000402E7</v>
      </c>
      <c r="E62" s="28" t="s">
        <v>60</v>
      </c>
      <c r="F62" s="40">
        <v>46143.0</v>
      </c>
      <c r="G62" s="40">
        <v>46326.0</v>
      </c>
      <c r="H62" s="39" t="s">
        <v>156</v>
      </c>
      <c r="I62" s="37">
        <v>9156000.0</v>
      </c>
      <c r="J62" s="31"/>
      <c r="K62" s="31"/>
      <c r="L62" s="31"/>
      <c r="M62" s="31"/>
      <c r="N62" s="31"/>
      <c r="O62" s="31"/>
      <c r="P62" s="31"/>
      <c r="Q62" s="31"/>
      <c r="R62" s="31"/>
      <c r="S62" s="31"/>
      <c r="T62" s="31"/>
      <c r="U62" s="31"/>
      <c r="V62" s="31"/>
      <c r="W62" s="31"/>
      <c r="X62" s="31"/>
      <c r="Y62" s="31"/>
      <c r="Z62" s="31">
        <f t="shared" ref="Z62:AE62" si="45">$I62/6</f>
        <v>1526000</v>
      </c>
      <c r="AA62" s="31">
        <f t="shared" si="45"/>
        <v>1526000</v>
      </c>
      <c r="AB62" s="31">
        <f t="shared" si="45"/>
        <v>1526000</v>
      </c>
      <c r="AC62" s="31">
        <f t="shared" si="45"/>
        <v>1526000</v>
      </c>
      <c r="AD62" s="31">
        <f t="shared" si="45"/>
        <v>1526000</v>
      </c>
      <c r="AE62" s="31">
        <f t="shared" si="45"/>
        <v>1526000</v>
      </c>
      <c r="AF62" s="32"/>
      <c r="AG62" s="32"/>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row>
    <row r="63">
      <c r="A63" s="28" t="s">
        <v>157</v>
      </c>
      <c r="B63" s="29" t="s">
        <v>53</v>
      </c>
      <c r="C63" s="29">
        <v>3.554355E7</v>
      </c>
      <c r="D63" s="29">
        <v>1.0000626E7</v>
      </c>
      <c r="E63" s="28" t="s">
        <v>60</v>
      </c>
      <c r="F63" s="30">
        <v>46143.0</v>
      </c>
      <c r="G63" s="30">
        <v>46234.0</v>
      </c>
      <c r="H63" s="29" t="s">
        <v>158</v>
      </c>
      <c r="I63" s="31">
        <v>2289000.0</v>
      </c>
      <c r="J63" s="31"/>
      <c r="K63" s="31"/>
      <c r="L63" s="31"/>
      <c r="M63" s="31"/>
      <c r="N63" s="31"/>
      <c r="O63" s="31"/>
      <c r="P63" s="31"/>
      <c r="Q63" s="31"/>
      <c r="R63" s="31"/>
      <c r="S63" s="31"/>
      <c r="T63" s="31"/>
      <c r="U63" s="31"/>
      <c r="V63" s="31"/>
      <c r="W63" s="31"/>
      <c r="X63" s="31"/>
      <c r="Y63" s="31"/>
      <c r="Z63" s="31">
        <f t="shared" ref="Z63:AB63" si="46">$I63/3</f>
        <v>763000</v>
      </c>
      <c r="AA63" s="31">
        <f t="shared" si="46"/>
        <v>763000</v>
      </c>
      <c r="AB63" s="31">
        <f t="shared" si="46"/>
        <v>763000</v>
      </c>
      <c r="AC63" s="31"/>
      <c r="AD63" s="31"/>
      <c r="AE63" s="31"/>
      <c r="AF63" s="32"/>
      <c r="AG63" s="32"/>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row>
    <row r="64">
      <c r="A64" s="28" t="s">
        <v>159</v>
      </c>
      <c r="B64" s="29" t="s">
        <v>53</v>
      </c>
      <c r="C64" s="29">
        <v>2.9883586E7</v>
      </c>
      <c r="D64" s="29">
        <v>1.000045E7</v>
      </c>
      <c r="E64" s="28" t="s">
        <v>60</v>
      </c>
      <c r="F64" s="30">
        <v>46143.0</v>
      </c>
      <c r="G64" s="30">
        <v>46234.0</v>
      </c>
      <c r="H64" s="29" t="s">
        <v>160</v>
      </c>
      <c r="I64" s="31">
        <v>2289000.0</v>
      </c>
      <c r="J64" s="31"/>
      <c r="K64" s="31"/>
      <c r="L64" s="31"/>
      <c r="M64" s="31"/>
      <c r="N64" s="31"/>
      <c r="O64" s="31"/>
      <c r="P64" s="31"/>
      <c r="Q64" s="31"/>
      <c r="R64" s="31"/>
      <c r="S64" s="31"/>
      <c r="T64" s="31"/>
      <c r="U64" s="31"/>
      <c r="V64" s="31"/>
      <c r="W64" s="31"/>
      <c r="X64" s="31"/>
      <c r="Y64" s="31"/>
      <c r="Z64" s="31">
        <f t="shared" ref="Z64:AB64" si="47">$I64/3</f>
        <v>763000</v>
      </c>
      <c r="AA64" s="31">
        <f t="shared" si="47"/>
        <v>763000</v>
      </c>
      <c r="AB64" s="31">
        <f t="shared" si="47"/>
        <v>763000</v>
      </c>
      <c r="AC64" s="31"/>
      <c r="AD64" s="31"/>
      <c r="AE64" s="31"/>
      <c r="AF64" s="32"/>
      <c r="AG64" s="32"/>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row>
    <row r="65">
      <c r="A65" s="28" t="s">
        <v>161</v>
      </c>
      <c r="B65" s="29" t="s">
        <v>53</v>
      </c>
      <c r="C65" s="29">
        <v>2.3153422E7</v>
      </c>
      <c r="D65" s="29">
        <v>1.0000473E7</v>
      </c>
      <c r="E65" s="28" t="s">
        <v>60</v>
      </c>
      <c r="F65" s="30">
        <v>46143.0</v>
      </c>
      <c r="G65" s="30">
        <v>46234.0</v>
      </c>
      <c r="H65" s="29" t="s">
        <v>162</v>
      </c>
      <c r="I65" s="31">
        <v>2289000.0</v>
      </c>
      <c r="J65" s="31"/>
      <c r="K65" s="31"/>
      <c r="L65" s="31"/>
      <c r="M65" s="31"/>
      <c r="N65" s="31"/>
      <c r="O65" s="31"/>
      <c r="P65" s="31"/>
      <c r="Q65" s="31"/>
      <c r="R65" s="31"/>
      <c r="S65" s="31"/>
      <c r="T65" s="31"/>
      <c r="U65" s="31"/>
      <c r="V65" s="31"/>
      <c r="W65" s="31"/>
      <c r="X65" s="31"/>
      <c r="Y65" s="31"/>
      <c r="Z65" s="31">
        <f t="shared" ref="Z65:AB65" si="48">$I65/3</f>
        <v>763000</v>
      </c>
      <c r="AA65" s="31">
        <f t="shared" si="48"/>
        <v>763000</v>
      </c>
      <c r="AB65" s="31">
        <f t="shared" si="48"/>
        <v>763000</v>
      </c>
      <c r="AC65" s="31"/>
      <c r="AD65" s="31"/>
      <c r="AE65" s="31"/>
      <c r="AF65" s="32"/>
      <c r="AG65" s="32"/>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row>
    <row r="66">
      <c r="A66" s="28" t="s">
        <v>163</v>
      </c>
      <c r="B66" s="29" t="s">
        <v>53</v>
      </c>
      <c r="C66" s="29">
        <v>3.3885606E7</v>
      </c>
      <c r="D66" s="29">
        <v>1.0000408E7</v>
      </c>
      <c r="E66" s="28" t="s">
        <v>60</v>
      </c>
      <c r="F66" s="30">
        <v>46143.0</v>
      </c>
      <c r="G66" s="30">
        <v>46234.0</v>
      </c>
      <c r="H66" s="29" t="s">
        <v>164</v>
      </c>
      <c r="I66" s="31">
        <v>2289000.0</v>
      </c>
      <c r="J66" s="31"/>
      <c r="K66" s="31"/>
      <c r="L66" s="31"/>
      <c r="M66" s="31"/>
      <c r="N66" s="31"/>
      <c r="O66" s="31"/>
      <c r="P66" s="31"/>
      <c r="Q66" s="31"/>
      <c r="R66" s="31"/>
      <c r="S66" s="31"/>
      <c r="T66" s="31"/>
      <c r="U66" s="31"/>
      <c r="V66" s="31"/>
      <c r="W66" s="31"/>
      <c r="X66" s="31"/>
      <c r="Y66" s="31"/>
      <c r="Z66" s="31">
        <f t="shared" ref="Z66:AB66" si="49">$I66/3</f>
        <v>763000</v>
      </c>
      <c r="AA66" s="31">
        <f t="shared" si="49"/>
        <v>763000</v>
      </c>
      <c r="AB66" s="31">
        <f t="shared" si="49"/>
        <v>763000</v>
      </c>
      <c r="AC66" s="31"/>
      <c r="AD66" s="31"/>
      <c r="AE66" s="31"/>
      <c r="AF66" s="32"/>
      <c r="AG66" s="32"/>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row>
    <row r="67">
      <c r="A67" s="28" t="s">
        <v>165</v>
      </c>
      <c r="B67" s="29" t="s">
        <v>53</v>
      </c>
      <c r="C67" s="29">
        <v>3.4371568E7</v>
      </c>
      <c r="D67" s="29">
        <v>1.0000609E7</v>
      </c>
      <c r="E67" s="28" t="s">
        <v>60</v>
      </c>
      <c r="F67" s="30">
        <v>46143.0</v>
      </c>
      <c r="G67" s="30">
        <v>46234.0</v>
      </c>
      <c r="H67" s="29" t="s">
        <v>166</v>
      </c>
      <c r="I67" s="31">
        <f>1389000+926000</f>
        <v>2315000</v>
      </c>
      <c r="J67" s="31"/>
      <c r="K67" s="31"/>
      <c r="L67" s="31"/>
      <c r="M67" s="31"/>
      <c r="N67" s="41"/>
      <c r="O67" s="31"/>
      <c r="P67" s="31"/>
      <c r="Q67" s="31"/>
      <c r="R67" s="31"/>
      <c r="S67" s="31"/>
      <c r="T67" s="31"/>
      <c r="U67" s="31"/>
      <c r="V67" s="31"/>
      <c r="W67" s="31"/>
      <c r="X67" s="31"/>
      <c r="Y67" s="31"/>
      <c r="Z67" s="41">
        <f>463000+61733.33</f>
        <v>524733.33</v>
      </c>
      <c r="AA67" s="31">
        <v>926000.0</v>
      </c>
      <c r="AB67" s="31">
        <v>926000.0</v>
      </c>
      <c r="AC67" s="31"/>
      <c r="AD67" s="31"/>
      <c r="AE67" s="31"/>
      <c r="AF67" s="32"/>
      <c r="AG67" s="32"/>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row>
    <row r="68">
      <c r="A68" s="28" t="s">
        <v>167</v>
      </c>
      <c r="B68" s="29" t="s">
        <v>53</v>
      </c>
      <c r="C68" s="29">
        <v>3.4660299E7</v>
      </c>
      <c r="D68" s="29">
        <v>1.0000568E7</v>
      </c>
      <c r="E68" s="28" t="s">
        <v>60</v>
      </c>
      <c r="F68" s="30">
        <v>46143.0</v>
      </c>
      <c r="G68" s="30">
        <v>46234.0</v>
      </c>
      <c r="H68" s="29" t="s">
        <v>168</v>
      </c>
      <c r="I68" s="31">
        <v>2778000.0</v>
      </c>
      <c r="J68" s="31"/>
      <c r="K68" s="31"/>
      <c r="L68" s="31"/>
      <c r="M68" s="31"/>
      <c r="N68" s="31"/>
      <c r="O68" s="31"/>
      <c r="P68" s="31"/>
      <c r="Q68" s="31"/>
      <c r="R68" s="31"/>
      <c r="S68" s="31"/>
      <c r="T68" s="31"/>
      <c r="U68" s="31"/>
      <c r="V68" s="31"/>
      <c r="W68" s="31"/>
      <c r="X68" s="31"/>
      <c r="Y68" s="31"/>
      <c r="Z68" s="31">
        <f t="shared" ref="Z68:AB68" si="50">$I68/3</f>
        <v>926000</v>
      </c>
      <c r="AA68" s="31">
        <f t="shared" si="50"/>
        <v>926000</v>
      </c>
      <c r="AB68" s="31">
        <f t="shared" si="50"/>
        <v>926000</v>
      </c>
      <c r="AC68" s="31"/>
      <c r="AD68" s="31"/>
      <c r="AE68" s="31"/>
      <c r="AF68" s="32"/>
      <c r="AG68" s="32"/>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row>
    <row r="69" ht="23.25" customHeight="1">
      <c r="A69" s="28" t="s">
        <v>169</v>
      </c>
      <c r="B69" s="29" t="s">
        <v>53</v>
      </c>
      <c r="C69" s="29">
        <v>2.2843246E7</v>
      </c>
      <c r="D69" s="29">
        <v>1.0000581E7</v>
      </c>
      <c r="E69" s="28" t="s">
        <v>60</v>
      </c>
      <c r="F69" s="30">
        <v>46143.0</v>
      </c>
      <c r="G69" s="30">
        <v>46234.0</v>
      </c>
      <c r="H69" s="29" t="s">
        <v>170</v>
      </c>
      <c r="I69" s="31">
        <v>1389000.0</v>
      </c>
      <c r="J69" s="31"/>
      <c r="K69" s="31"/>
      <c r="L69" s="31"/>
      <c r="M69" s="31"/>
      <c r="N69" s="31"/>
      <c r="O69" s="31"/>
      <c r="P69" s="31"/>
      <c r="Q69" s="31"/>
      <c r="R69" s="31"/>
      <c r="S69" s="31"/>
      <c r="T69" s="31"/>
      <c r="U69" s="31"/>
      <c r="V69" s="31"/>
      <c r="W69" s="31"/>
      <c r="X69" s="31"/>
      <c r="Y69" s="31"/>
      <c r="Z69" s="31">
        <f t="shared" ref="Z69:AB69" si="51">$I69/3</f>
        <v>463000</v>
      </c>
      <c r="AA69" s="31">
        <f t="shared" si="51"/>
        <v>463000</v>
      </c>
      <c r="AB69" s="31">
        <f t="shared" si="51"/>
        <v>463000</v>
      </c>
      <c r="AC69" s="31"/>
      <c r="AD69" s="31"/>
      <c r="AE69" s="31"/>
      <c r="AF69" s="32"/>
      <c r="AG69" s="32"/>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row>
    <row r="70">
      <c r="A70" s="28" t="s">
        <v>171</v>
      </c>
      <c r="B70" s="29" t="s">
        <v>53</v>
      </c>
      <c r="C70" s="29">
        <v>2.934732E7</v>
      </c>
      <c r="D70" s="29">
        <v>1.0000611E7</v>
      </c>
      <c r="E70" s="28" t="s">
        <v>60</v>
      </c>
      <c r="F70" s="30">
        <v>46143.0</v>
      </c>
      <c r="G70" s="30">
        <v>46234.0</v>
      </c>
      <c r="H70" s="29" t="s">
        <v>172</v>
      </c>
      <c r="I70" s="31">
        <v>1389000.0</v>
      </c>
      <c r="J70" s="31"/>
      <c r="K70" s="31"/>
      <c r="L70" s="31"/>
      <c r="M70" s="31"/>
      <c r="N70" s="31"/>
      <c r="O70" s="31"/>
      <c r="P70" s="31"/>
      <c r="Q70" s="31"/>
      <c r="R70" s="31"/>
      <c r="S70" s="31"/>
      <c r="T70" s="31"/>
      <c r="U70" s="31"/>
      <c r="V70" s="31"/>
      <c r="W70" s="31"/>
      <c r="X70" s="31"/>
      <c r="Y70" s="31"/>
      <c r="Z70" s="31">
        <f t="shared" ref="Z70:AB70" si="52">$I70/3</f>
        <v>463000</v>
      </c>
      <c r="AA70" s="31">
        <f t="shared" si="52"/>
        <v>463000</v>
      </c>
      <c r="AB70" s="31">
        <f t="shared" si="52"/>
        <v>463000</v>
      </c>
      <c r="AC70" s="31"/>
      <c r="AD70" s="31"/>
      <c r="AE70" s="31"/>
      <c r="AF70" s="32"/>
      <c r="AG70" s="32"/>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row>
    <row r="71">
      <c r="A71" s="28" t="s">
        <v>173</v>
      </c>
      <c r="B71" s="29" t="s">
        <v>53</v>
      </c>
      <c r="C71" s="29">
        <v>3.3814555E7</v>
      </c>
      <c r="D71" s="29">
        <v>1.0000569E7</v>
      </c>
      <c r="E71" s="28" t="s">
        <v>60</v>
      </c>
      <c r="F71" s="30">
        <v>46143.0</v>
      </c>
      <c r="G71" s="30">
        <v>46234.0</v>
      </c>
      <c r="H71" s="29" t="s">
        <v>174</v>
      </c>
      <c r="I71" s="31">
        <v>2778000.0</v>
      </c>
      <c r="J71" s="31"/>
      <c r="K71" s="31"/>
      <c r="L71" s="31"/>
      <c r="M71" s="31"/>
      <c r="N71" s="31"/>
      <c r="O71" s="31"/>
      <c r="P71" s="31"/>
      <c r="Q71" s="31"/>
      <c r="R71" s="31"/>
      <c r="S71" s="31"/>
      <c r="T71" s="31"/>
      <c r="U71" s="31"/>
      <c r="V71" s="31"/>
      <c r="W71" s="31"/>
      <c r="X71" s="31"/>
      <c r="Y71" s="31"/>
      <c r="Z71" s="31">
        <f t="shared" ref="Z71:AB71" si="53">$I71/3</f>
        <v>926000</v>
      </c>
      <c r="AA71" s="31">
        <f t="shared" si="53"/>
        <v>926000</v>
      </c>
      <c r="AB71" s="31">
        <f t="shared" si="53"/>
        <v>926000</v>
      </c>
      <c r="AC71" s="31"/>
      <c r="AD71" s="31"/>
      <c r="AE71" s="31"/>
      <c r="AF71" s="32"/>
      <c r="AG71" s="32"/>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row>
    <row r="72">
      <c r="A72" s="28" t="s">
        <v>175</v>
      </c>
      <c r="B72" s="29" t="s">
        <v>53</v>
      </c>
      <c r="C72" s="29">
        <v>2.9266634E7</v>
      </c>
      <c r="D72" s="29">
        <v>1.0000594E7</v>
      </c>
      <c r="E72" s="28" t="s">
        <v>60</v>
      </c>
      <c r="F72" s="30">
        <v>46143.0</v>
      </c>
      <c r="G72" s="30">
        <v>46234.0</v>
      </c>
      <c r="H72" s="29" t="s">
        <v>176</v>
      </c>
      <c r="I72" s="31">
        <v>2778000.0</v>
      </c>
      <c r="J72" s="31"/>
      <c r="K72" s="31"/>
      <c r="L72" s="31"/>
      <c r="M72" s="31"/>
      <c r="N72" s="31"/>
      <c r="O72" s="31"/>
      <c r="P72" s="31"/>
      <c r="Q72" s="31"/>
      <c r="R72" s="31"/>
      <c r="S72" s="31"/>
      <c r="T72" s="31"/>
      <c r="U72" s="31"/>
      <c r="V72" s="31"/>
      <c r="W72" s="31"/>
      <c r="X72" s="31"/>
      <c r="Y72" s="31"/>
      <c r="Z72" s="31">
        <f t="shared" ref="Z72:AB72" si="54">$I72/3</f>
        <v>926000</v>
      </c>
      <c r="AA72" s="31">
        <f t="shared" si="54"/>
        <v>926000</v>
      </c>
      <c r="AB72" s="31">
        <f t="shared" si="54"/>
        <v>926000</v>
      </c>
      <c r="AC72" s="31"/>
      <c r="AD72" s="31"/>
      <c r="AE72" s="31"/>
      <c r="AF72" s="32"/>
      <c r="AG72" s="32"/>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row>
    <row r="73">
      <c r="A73" s="28" t="s">
        <v>177</v>
      </c>
      <c r="B73" s="29" t="s">
        <v>53</v>
      </c>
      <c r="C73" s="29">
        <v>4.4432579E7</v>
      </c>
      <c r="D73" s="29">
        <v>1.000057E7</v>
      </c>
      <c r="E73" s="28" t="s">
        <v>60</v>
      </c>
      <c r="F73" s="30">
        <v>46143.0</v>
      </c>
      <c r="G73" s="30">
        <v>46234.0</v>
      </c>
      <c r="H73" s="29" t="s">
        <v>178</v>
      </c>
      <c r="I73" s="31">
        <v>1389000.0</v>
      </c>
      <c r="J73" s="31"/>
      <c r="K73" s="31"/>
      <c r="L73" s="31"/>
      <c r="M73" s="31"/>
      <c r="N73" s="31"/>
      <c r="O73" s="31"/>
      <c r="P73" s="31"/>
      <c r="Q73" s="31"/>
      <c r="R73" s="31"/>
      <c r="S73" s="31"/>
      <c r="T73" s="31"/>
      <c r="U73" s="31"/>
      <c r="V73" s="31"/>
      <c r="W73" s="31"/>
      <c r="X73" s="31"/>
      <c r="Y73" s="31"/>
      <c r="Z73" s="31">
        <f t="shared" ref="Z73:AB73" si="55">$I73/3</f>
        <v>463000</v>
      </c>
      <c r="AA73" s="31">
        <f t="shared" si="55"/>
        <v>463000</v>
      </c>
      <c r="AB73" s="31">
        <f t="shared" si="55"/>
        <v>463000</v>
      </c>
      <c r="AC73" s="31"/>
      <c r="AD73" s="31"/>
      <c r="AE73" s="31"/>
      <c r="AF73" s="32"/>
      <c r="AG73" s="32"/>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row>
    <row r="74">
      <c r="A74" s="28" t="s">
        <v>179</v>
      </c>
      <c r="B74" s="29" t="s">
        <v>53</v>
      </c>
      <c r="C74" s="29">
        <v>2.2393283E7</v>
      </c>
      <c r="D74" s="29">
        <v>1.0000593E7</v>
      </c>
      <c r="E74" s="28" t="s">
        <v>60</v>
      </c>
      <c r="F74" s="30">
        <v>46143.0</v>
      </c>
      <c r="G74" s="30">
        <v>46234.0</v>
      </c>
      <c r="H74" s="29" t="s">
        <v>180</v>
      </c>
      <c r="I74" s="31">
        <v>2778000.0</v>
      </c>
      <c r="J74" s="31"/>
      <c r="K74" s="31"/>
      <c r="L74" s="31"/>
      <c r="M74" s="31"/>
      <c r="N74" s="31"/>
      <c r="O74" s="31"/>
      <c r="P74" s="31"/>
      <c r="Q74" s="31"/>
      <c r="R74" s="31"/>
      <c r="S74" s="31"/>
      <c r="T74" s="31"/>
      <c r="U74" s="31"/>
      <c r="V74" s="31"/>
      <c r="W74" s="31"/>
      <c r="X74" s="31"/>
      <c r="Y74" s="31"/>
      <c r="Z74" s="31">
        <f t="shared" ref="Z74:AB74" si="56">$I74/3</f>
        <v>926000</v>
      </c>
      <c r="AA74" s="31">
        <f t="shared" si="56"/>
        <v>926000</v>
      </c>
      <c r="AB74" s="31">
        <f t="shared" si="56"/>
        <v>926000</v>
      </c>
      <c r="AC74" s="31"/>
      <c r="AD74" s="31"/>
      <c r="AE74" s="31"/>
      <c r="AF74" s="32"/>
      <c r="AG74" s="32"/>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row>
    <row r="75">
      <c r="A75" s="28" t="s">
        <v>181</v>
      </c>
      <c r="B75" s="29" t="s">
        <v>53</v>
      </c>
      <c r="C75" s="29">
        <v>3.3825328E7</v>
      </c>
      <c r="D75" s="29">
        <v>1.0000559E7</v>
      </c>
      <c r="E75" s="28" t="s">
        <v>60</v>
      </c>
      <c r="F75" s="30">
        <v>46143.0</v>
      </c>
      <c r="G75" s="30">
        <v>46234.0</v>
      </c>
      <c r="H75" s="29" t="s">
        <v>182</v>
      </c>
      <c r="I75" s="31">
        <v>1389000.0</v>
      </c>
      <c r="J75" s="31"/>
      <c r="K75" s="31"/>
      <c r="L75" s="31"/>
      <c r="M75" s="31"/>
      <c r="N75" s="31"/>
      <c r="O75" s="31"/>
      <c r="P75" s="31"/>
      <c r="Q75" s="31"/>
      <c r="R75" s="31"/>
      <c r="S75" s="31"/>
      <c r="T75" s="31"/>
      <c r="U75" s="31"/>
      <c r="V75" s="31"/>
      <c r="W75" s="31"/>
      <c r="X75" s="31"/>
      <c r="Y75" s="31"/>
      <c r="Z75" s="31">
        <f t="shared" ref="Z75:AB75" si="57">$I75/3</f>
        <v>463000</v>
      </c>
      <c r="AA75" s="31">
        <f t="shared" si="57"/>
        <v>463000</v>
      </c>
      <c r="AB75" s="31">
        <f t="shared" si="57"/>
        <v>463000</v>
      </c>
      <c r="AC75" s="31"/>
      <c r="AD75" s="31"/>
      <c r="AE75" s="31"/>
      <c r="AF75" s="32"/>
      <c r="AG75" s="32"/>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row>
    <row r="76">
      <c r="A76" s="28" t="s">
        <v>183</v>
      </c>
      <c r="B76" s="29" t="s">
        <v>53</v>
      </c>
      <c r="C76" s="29">
        <v>3.2680206E7</v>
      </c>
      <c r="D76" s="29">
        <v>1.0000571E7</v>
      </c>
      <c r="E76" s="28" t="s">
        <v>60</v>
      </c>
      <c r="F76" s="30">
        <v>46143.0</v>
      </c>
      <c r="G76" s="30">
        <v>46234.0</v>
      </c>
      <c r="H76" s="29" t="s">
        <v>184</v>
      </c>
      <c r="I76" s="31">
        <v>1389000.0</v>
      </c>
      <c r="J76" s="31"/>
      <c r="K76" s="31"/>
      <c r="L76" s="31"/>
      <c r="M76" s="31"/>
      <c r="N76" s="31"/>
      <c r="O76" s="31"/>
      <c r="P76" s="31"/>
      <c r="Q76" s="31"/>
      <c r="R76" s="31"/>
      <c r="S76" s="31"/>
      <c r="T76" s="31"/>
      <c r="U76" s="31"/>
      <c r="V76" s="31"/>
      <c r="W76" s="31"/>
      <c r="X76" s="31"/>
      <c r="Y76" s="31"/>
      <c r="Z76" s="31">
        <f t="shared" ref="Z76:AB76" si="58">$I76/3</f>
        <v>463000</v>
      </c>
      <c r="AA76" s="31">
        <f t="shared" si="58"/>
        <v>463000</v>
      </c>
      <c r="AB76" s="31">
        <f t="shared" si="58"/>
        <v>463000</v>
      </c>
      <c r="AC76" s="31"/>
      <c r="AD76" s="31"/>
      <c r="AE76" s="31"/>
      <c r="AF76" s="32"/>
      <c r="AG76" s="32"/>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row>
    <row r="77">
      <c r="A77" s="28" t="s">
        <v>185</v>
      </c>
      <c r="B77" s="29" t="s">
        <v>53</v>
      </c>
      <c r="C77" s="29">
        <v>2.817336E7</v>
      </c>
      <c r="D77" s="29">
        <v>1.0000576E7</v>
      </c>
      <c r="E77" s="28" t="s">
        <v>60</v>
      </c>
      <c r="F77" s="30">
        <v>46143.0</v>
      </c>
      <c r="G77" s="30">
        <v>46234.0</v>
      </c>
      <c r="H77" s="29" t="s">
        <v>186</v>
      </c>
      <c r="I77" s="31">
        <v>2778000.0</v>
      </c>
      <c r="J77" s="31"/>
      <c r="K77" s="31"/>
      <c r="L77" s="31"/>
      <c r="M77" s="31"/>
      <c r="N77" s="31"/>
      <c r="O77" s="31"/>
      <c r="P77" s="31"/>
      <c r="Q77" s="31"/>
      <c r="R77" s="31"/>
      <c r="S77" s="31"/>
      <c r="T77" s="31"/>
      <c r="U77" s="31"/>
      <c r="V77" s="31"/>
      <c r="W77" s="31"/>
      <c r="X77" s="31"/>
      <c r="Y77" s="31"/>
      <c r="Z77" s="31">
        <f t="shared" ref="Z77:AB77" si="59">$I77/3</f>
        <v>926000</v>
      </c>
      <c r="AA77" s="31">
        <f t="shared" si="59"/>
        <v>926000</v>
      </c>
      <c r="AB77" s="31">
        <f t="shared" si="59"/>
        <v>926000</v>
      </c>
      <c r="AC77" s="31"/>
      <c r="AD77" s="31"/>
      <c r="AE77" s="31"/>
      <c r="AF77" s="32"/>
      <c r="AG77" s="32"/>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row>
    <row r="78">
      <c r="A78" s="28" t="s">
        <v>187</v>
      </c>
      <c r="B78" s="29" t="s">
        <v>53</v>
      </c>
      <c r="C78" s="29">
        <v>1.8315691E7</v>
      </c>
      <c r="D78" s="29">
        <v>1.0000579E7</v>
      </c>
      <c r="E78" s="28" t="s">
        <v>60</v>
      </c>
      <c r="F78" s="30">
        <v>46143.0</v>
      </c>
      <c r="G78" s="30">
        <v>46234.0</v>
      </c>
      <c r="H78" s="29" t="s">
        <v>188</v>
      </c>
      <c r="I78" s="31">
        <v>2778000.0</v>
      </c>
      <c r="J78" s="31"/>
      <c r="K78" s="31"/>
      <c r="L78" s="31"/>
      <c r="M78" s="31"/>
      <c r="N78" s="31"/>
      <c r="O78" s="31"/>
      <c r="P78" s="31"/>
      <c r="Q78" s="31"/>
      <c r="R78" s="31"/>
      <c r="S78" s="31"/>
      <c r="T78" s="31"/>
      <c r="U78" s="31"/>
      <c r="V78" s="31"/>
      <c r="W78" s="31"/>
      <c r="X78" s="31"/>
      <c r="Y78" s="31"/>
      <c r="Z78" s="31">
        <f t="shared" ref="Z78:AB78" si="60">$I78/3</f>
        <v>926000</v>
      </c>
      <c r="AA78" s="31">
        <f t="shared" si="60"/>
        <v>926000</v>
      </c>
      <c r="AB78" s="31">
        <f t="shared" si="60"/>
        <v>926000</v>
      </c>
      <c r="AC78" s="31"/>
      <c r="AD78" s="31"/>
      <c r="AE78" s="31"/>
      <c r="AF78" s="32"/>
      <c r="AG78" s="32"/>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row>
    <row r="79">
      <c r="A79" s="28" t="s">
        <v>189</v>
      </c>
      <c r="B79" s="29" t="s">
        <v>53</v>
      </c>
      <c r="C79" s="29">
        <v>2.264831E7</v>
      </c>
      <c r="D79" s="29">
        <v>1.0000572E7</v>
      </c>
      <c r="E79" s="28" t="s">
        <v>60</v>
      </c>
      <c r="F79" s="30">
        <v>46143.0</v>
      </c>
      <c r="G79" s="30">
        <v>46234.0</v>
      </c>
      <c r="H79" s="29" t="s">
        <v>190</v>
      </c>
      <c r="I79" s="31">
        <v>2778000.0</v>
      </c>
      <c r="J79" s="31"/>
      <c r="K79" s="31"/>
      <c r="L79" s="31"/>
      <c r="M79" s="31"/>
      <c r="N79" s="31"/>
      <c r="O79" s="31"/>
      <c r="P79" s="31"/>
      <c r="Q79" s="31"/>
      <c r="R79" s="31"/>
      <c r="S79" s="31"/>
      <c r="T79" s="31"/>
      <c r="U79" s="31"/>
      <c r="V79" s="31"/>
      <c r="W79" s="31"/>
      <c r="X79" s="31"/>
      <c r="Y79" s="31"/>
      <c r="Z79" s="31">
        <f t="shared" ref="Z79:AB79" si="61">$I79/3</f>
        <v>926000</v>
      </c>
      <c r="AA79" s="31">
        <f t="shared" si="61"/>
        <v>926000</v>
      </c>
      <c r="AB79" s="31">
        <f t="shared" si="61"/>
        <v>926000</v>
      </c>
      <c r="AC79" s="31"/>
      <c r="AD79" s="31"/>
      <c r="AE79" s="31"/>
      <c r="AF79" s="32"/>
      <c r="AG79" s="32"/>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row>
    <row r="80">
      <c r="A80" s="28" t="s">
        <v>191</v>
      </c>
      <c r="B80" s="29" t="s">
        <v>53</v>
      </c>
      <c r="C80" s="29">
        <v>2.1407234E7</v>
      </c>
      <c r="D80" s="29">
        <v>1.0000574E7</v>
      </c>
      <c r="E80" s="28" t="s">
        <v>60</v>
      </c>
      <c r="F80" s="30">
        <v>46143.0</v>
      </c>
      <c r="G80" s="30">
        <v>46234.0</v>
      </c>
      <c r="H80" s="29" t="s">
        <v>192</v>
      </c>
      <c r="I80" s="31">
        <v>1389000.0</v>
      </c>
      <c r="J80" s="31"/>
      <c r="K80" s="31"/>
      <c r="L80" s="31"/>
      <c r="M80" s="31"/>
      <c r="N80" s="41"/>
      <c r="O80" s="31"/>
      <c r="P80" s="31"/>
      <c r="Q80" s="31"/>
      <c r="R80" s="31"/>
      <c r="S80" s="31"/>
      <c r="T80" s="31"/>
      <c r="U80" s="31"/>
      <c r="V80" s="31"/>
      <c r="W80" s="31"/>
      <c r="X80" s="31"/>
      <c r="Y80" s="31"/>
      <c r="Z80" s="41">
        <f>463000+61733.33</f>
        <v>524733.33</v>
      </c>
      <c r="AA80" s="31">
        <v>926000.0</v>
      </c>
      <c r="AB80" s="31">
        <v>926000.0</v>
      </c>
      <c r="AC80" s="31"/>
      <c r="AD80" s="31"/>
      <c r="AE80" s="31"/>
      <c r="AF80" s="32"/>
      <c r="AG80" s="32"/>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row>
    <row r="81">
      <c r="A81" s="28" t="s">
        <v>193</v>
      </c>
      <c r="B81" s="29" t="s">
        <v>53</v>
      </c>
      <c r="C81" s="29">
        <v>2.6385508E7</v>
      </c>
      <c r="D81" s="29">
        <v>1.0000578E7</v>
      </c>
      <c r="E81" s="28" t="s">
        <v>60</v>
      </c>
      <c r="F81" s="30">
        <v>46143.0</v>
      </c>
      <c r="G81" s="30">
        <v>46234.0</v>
      </c>
      <c r="H81" s="29" t="s">
        <v>194</v>
      </c>
      <c r="I81" s="31">
        <v>2778000.0</v>
      </c>
      <c r="J81" s="31"/>
      <c r="K81" s="31"/>
      <c r="L81" s="31"/>
      <c r="M81" s="31"/>
      <c r="N81" s="31"/>
      <c r="O81" s="31"/>
      <c r="P81" s="31"/>
      <c r="Q81" s="31"/>
      <c r="R81" s="31"/>
      <c r="S81" s="31"/>
      <c r="T81" s="31"/>
      <c r="U81" s="31"/>
      <c r="V81" s="31"/>
      <c r="W81" s="31"/>
      <c r="X81" s="31"/>
      <c r="Y81" s="31"/>
      <c r="Z81" s="31">
        <f t="shared" ref="Z81:AB81" si="62">$I81/3</f>
        <v>926000</v>
      </c>
      <c r="AA81" s="31">
        <f t="shared" si="62"/>
        <v>926000</v>
      </c>
      <c r="AB81" s="31">
        <f t="shared" si="62"/>
        <v>926000</v>
      </c>
      <c r="AC81" s="31"/>
      <c r="AD81" s="31"/>
      <c r="AE81" s="31"/>
      <c r="AF81" s="32"/>
      <c r="AG81" s="32"/>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row>
    <row r="82">
      <c r="A82" s="28" t="s">
        <v>195</v>
      </c>
      <c r="B82" s="29" t="s">
        <v>53</v>
      </c>
      <c r="C82" s="29">
        <v>2.2843243E7</v>
      </c>
      <c r="D82" s="29">
        <v>1.0000582E7</v>
      </c>
      <c r="E82" s="28" t="s">
        <v>60</v>
      </c>
      <c r="F82" s="30">
        <v>46143.0</v>
      </c>
      <c r="G82" s="30">
        <v>46234.0</v>
      </c>
      <c r="H82" s="29" t="s">
        <v>196</v>
      </c>
      <c r="I82" s="31">
        <v>1389000.0</v>
      </c>
      <c r="J82" s="31"/>
      <c r="K82" s="31"/>
      <c r="L82" s="31"/>
      <c r="M82" s="31"/>
      <c r="N82" s="31"/>
      <c r="O82" s="31"/>
      <c r="P82" s="31"/>
      <c r="Q82" s="31"/>
      <c r="R82" s="31"/>
      <c r="S82" s="31"/>
      <c r="T82" s="31"/>
      <c r="U82" s="31"/>
      <c r="V82" s="31"/>
      <c r="W82" s="31"/>
      <c r="X82" s="31"/>
      <c r="Y82" s="31"/>
      <c r="Z82" s="31">
        <f t="shared" ref="Z82:AB82" si="63">$I82/3</f>
        <v>463000</v>
      </c>
      <c r="AA82" s="31">
        <f t="shared" si="63"/>
        <v>463000</v>
      </c>
      <c r="AB82" s="31">
        <f t="shared" si="63"/>
        <v>463000</v>
      </c>
      <c r="AC82" s="31"/>
      <c r="AD82" s="31"/>
      <c r="AE82" s="31"/>
      <c r="AF82" s="32"/>
      <c r="AG82" s="32"/>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row>
    <row r="83">
      <c r="A83" s="28" t="s">
        <v>197</v>
      </c>
      <c r="B83" s="29" t="s">
        <v>53</v>
      </c>
      <c r="C83" s="29">
        <v>3.4651371E7</v>
      </c>
      <c r="D83" s="29">
        <v>1.0000486E7</v>
      </c>
      <c r="E83" s="28" t="s">
        <v>60</v>
      </c>
      <c r="F83" s="30">
        <v>46143.0</v>
      </c>
      <c r="G83" s="30">
        <v>46234.0</v>
      </c>
      <c r="H83" s="29" t="s">
        <v>198</v>
      </c>
      <c r="I83" s="31">
        <v>2778000.0</v>
      </c>
      <c r="J83" s="31"/>
      <c r="K83" s="31"/>
      <c r="L83" s="31"/>
      <c r="M83" s="31"/>
      <c r="N83" s="31"/>
      <c r="O83" s="31"/>
      <c r="P83" s="31"/>
      <c r="Q83" s="31"/>
      <c r="R83" s="31"/>
      <c r="S83" s="31"/>
      <c r="T83" s="31"/>
      <c r="U83" s="31"/>
      <c r="V83" s="31"/>
      <c r="W83" s="31"/>
      <c r="X83" s="31"/>
      <c r="Y83" s="31"/>
      <c r="Z83" s="31">
        <f t="shared" ref="Z83:AB83" si="64">$I83/3</f>
        <v>926000</v>
      </c>
      <c r="AA83" s="31">
        <f t="shared" si="64"/>
        <v>926000</v>
      </c>
      <c r="AB83" s="31">
        <f t="shared" si="64"/>
        <v>926000</v>
      </c>
      <c r="AC83" s="31"/>
      <c r="AD83" s="31"/>
      <c r="AE83" s="31"/>
      <c r="AF83" s="32"/>
      <c r="AG83" s="32"/>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row>
    <row r="84">
      <c r="A84" s="28" t="s">
        <v>199</v>
      </c>
      <c r="B84" s="29" t="s">
        <v>53</v>
      </c>
      <c r="C84" s="29">
        <v>2.4538285E7</v>
      </c>
      <c r="D84" s="29">
        <v>1.0000469E7</v>
      </c>
      <c r="E84" s="28" t="s">
        <v>60</v>
      </c>
      <c r="F84" s="30">
        <v>46143.0</v>
      </c>
      <c r="G84" s="30">
        <v>46234.0</v>
      </c>
      <c r="H84" s="29" t="s">
        <v>200</v>
      </c>
      <c r="I84" s="31">
        <v>1389000.0</v>
      </c>
      <c r="J84" s="31"/>
      <c r="K84" s="31"/>
      <c r="L84" s="31"/>
      <c r="M84" s="31"/>
      <c r="N84" s="31"/>
      <c r="O84" s="31"/>
      <c r="P84" s="31"/>
      <c r="Q84" s="31"/>
      <c r="R84" s="31"/>
      <c r="S84" s="31"/>
      <c r="T84" s="31"/>
      <c r="U84" s="31"/>
      <c r="V84" s="31"/>
      <c r="W84" s="31"/>
      <c r="X84" s="31"/>
      <c r="Y84" s="31"/>
      <c r="Z84" s="31">
        <f t="shared" ref="Z84:AB84" si="65">$I84/3</f>
        <v>463000</v>
      </c>
      <c r="AA84" s="31">
        <f t="shared" si="65"/>
        <v>463000</v>
      </c>
      <c r="AB84" s="31">
        <f t="shared" si="65"/>
        <v>463000</v>
      </c>
      <c r="AC84" s="31"/>
      <c r="AD84" s="31"/>
      <c r="AE84" s="31"/>
      <c r="AF84" s="32"/>
      <c r="AG84" s="32"/>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row>
    <row r="85">
      <c r="A85" s="28" t="s">
        <v>201</v>
      </c>
      <c r="B85" s="29" t="s">
        <v>53</v>
      </c>
      <c r="C85" s="29">
        <v>2.3954804E7</v>
      </c>
      <c r="D85" s="29">
        <v>1.000058E7</v>
      </c>
      <c r="E85" s="28" t="s">
        <v>60</v>
      </c>
      <c r="F85" s="30">
        <v>46143.0</v>
      </c>
      <c r="G85" s="30">
        <v>46234.0</v>
      </c>
      <c r="H85" s="29" t="s">
        <v>202</v>
      </c>
      <c r="I85" s="31">
        <v>2778000.0</v>
      </c>
      <c r="J85" s="31"/>
      <c r="K85" s="31"/>
      <c r="L85" s="31"/>
      <c r="M85" s="31"/>
      <c r="N85" s="31"/>
      <c r="O85" s="31"/>
      <c r="P85" s="31"/>
      <c r="Q85" s="31"/>
      <c r="R85" s="31"/>
      <c r="S85" s="31"/>
      <c r="T85" s="31"/>
      <c r="U85" s="31"/>
      <c r="V85" s="31"/>
      <c r="W85" s="31"/>
      <c r="X85" s="31"/>
      <c r="Y85" s="31"/>
      <c r="Z85" s="31">
        <f t="shared" ref="Z85:AB85" si="66">$I85/3</f>
        <v>926000</v>
      </c>
      <c r="AA85" s="31">
        <f t="shared" si="66"/>
        <v>926000</v>
      </c>
      <c r="AB85" s="31">
        <f t="shared" si="66"/>
        <v>926000</v>
      </c>
      <c r="AC85" s="31"/>
      <c r="AD85" s="31"/>
      <c r="AE85" s="31"/>
      <c r="AF85" s="32"/>
      <c r="AG85" s="32"/>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row>
    <row r="86">
      <c r="A86" s="28" t="s">
        <v>203</v>
      </c>
      <c r="B86" s="29" t="s">
        <v>53</v>
      </c>
      <c r="C86" s="29">
        <v>2.8207409E7</v>
      </c>
      <c r="D86" s="29">
        <v>1.0000589E7</v>
      </c>
      <c r="E86" s="28" t="s">
        <v>60</v>
      </c>
      <c r="F86" s="30">
        <v>46143.0</v>
      </c>
      <c r="G86" s="30">
        <v>46234.0</v>
      </c>
      <c r="H86" s="29" t="s">
        <v>204</v>
      </c>
      <c r="I86" s="31">
        <v>1389000.0</v>
      </c>
      <c r="J86" s="31"/>
      <c r="K86" s="31"/>
      <c r="L86" s="31"/>
      <c r="M86" s="31"/>
      <c r="N86" s="31"/>
      <c r="O86" s="31"/>
      <c r="P86" s="31"/>
      <c r="Q86" s="31"/>
      <c r="R86" s="31"/>
      <c r="S86" s="31"/>
      <c r="T86" s="31"/>
      <c r="U86" s="31"/>
      <c r="V86" s="31"/>
      <c r="W86" s="31"/>
      <c r="X86" s="31"/>
      <c r="Y86" s="31"/>
      <c r="Z86" s="31">
        <f t="shared" ref="Z86:AB86" si="67">$I86/3</f>
        <v>463000</v>
      </c>
      <c r="AA86" s="31">
        <f t="shared" si="67"/>
        <v>463000</v>
      </c>
      <c r="AB86" s="31">
        <f t="shared" si="67"/>
        <v>463000</v>
      </c>
      <c r="AC86" s="31"/>
      <c r="AD86" s="31"/>
      <c r="AE86" s="31"/>
      <c r="AF86" s="32"/>
      <c r="AG86" s="32"/>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row>
    <row r="87">
      <c r="A87" s="28" t="s">
        <v>205</v>
      </c>
      <c r="B87" s="29" t="s">
        <v>53</v>
      </c>
      <c r="C87" s="29">
        <v>2.9176545E7</v>
      </c>
      <c r="D87" s="29">
        <v>1.0000586E7</v>
      </c>
      <c r="E87" s="28" t="s">
        <v>60</v>
      </c>
      <c r="F87" s="30">
        <v>46143.0</v>
      </c>
      <c r="G87" s="30">
        <v>46234.0</v>
      </c>
      <c r="H87" s="29" t="s">
        <v>206</v>
      </c>
      <c r="I87" s="31">
        <v>1389000.0</v>
      </c>
      <c r="J87" s="31"/>
      <c r="K87" s="31"/>
      <c r="L87" s="31"/>
      <c r="M87" s="31"/>
      <c r="N87" s="31"/>
      <c r="O87" s="31"/>
      <c r="P87" s="31"/>
      <c r="Q87" s="31"/>
      <c r="R87" s="31"/>
      <c r="S87" s="31"/>
      <c r="T87" s="31"/>
      <c r="U87" s="31"/>
      <c r="V87" s="31"/>
      <c r="W87" s="31"/>
      <c r="X87" s="31"/>
      <c r="Y87" s="31"/>
      <c r="Z87" s="31">
        <f t="shared" ref="Z87:AB87" si="68">$I87/3</f>
        <v>463000</v>
      </c>
      <c r="AA87" s="31">
        <f t="shared" si="68"/>
        <v>463000</v>
      </c>
      <c r="AB87" s="31">
        <f t="shared" si="68"/>
        <v>463000</v>
      </c>
      <c r="AC87" s="31"/>
      <c r="AD87" s="31"/>
      <c r="AE87" s="31"/>
      <c r="AF87" s="32"/>
      <c r="AG87" s="32"/>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row>
    <row r="88">
      <c r="A88" s="28" t="s">
        <v>207</v>
      </c>
      <c r="B88" s="29" t="s">
        <v>53</v>
      </c>
      <c r="C88" s="29">
        <v>4.2861341E7</v>
      </c>
      <c r="D88" s="29">
        <v>1.000059E7</v>
      </c>
      <c r="E88" s="28" t="s">
        <v>60</v>
      </c>
      <c r="F88" s="30">
        <v>46143.0</v>
      </c>
      <c r="G88" s="30">
        <v>46234.0</v>
      </c>
      <c r="H88" s="29" t="s">
        <v>208</v>
      </c>
      <c r="I88" s="31">
        <v>1389000.0</v>
      </c>
      <c r="J88" s="31"/>
      <c r="K88" s="31"/>
      <c r="L88" s="31"/>
      <c r="M88" s="31"/>
      <c r="N88" s="31"/>
      <c r="O88" s="31"/>
      <c r="P88" s="31"/>
      <c r="Q88" s="31"/>
      <c r="R88" s="31"/>
      <c r="S88" s="31"/>
      <c r="T88" s="31"/>
      <c r="U88" s="31"/>
      <c r="V88" s="31"/>
      <c r="W88" s="31"/>
      <c r="X88" s="31"/>
      <c r="Y88" s="31"/>
      <c r="Z88" s="31">
        <f t="shared" ref="Z88:AB88" si="69">$I88/3</f>
        <v>463000</v>
      </c>
      <c r="AA88" s="31">
        <f t="shared" si="69"/>
        <v>463000</v>
      </c>
      <c r="AB88" s="31">
        <f t="shared" si="69"/>
        <v>463000</v>
      </c>
      <c r="AC88" s="31"/>
      <c r="AD88" s="31"/>
      <c r="AE88" s="31"/>
      <c r="AF88" s="32"/>
      <c r="AG88" s="32"/>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row>
    <row r="89">
      <c r="A89" s="28" t="s">
        <v>209</v>
      </c>
      <c r="B89" s="29" t="s">
        <v>53</v>
      </c>
      <c r="C89" s="29">
        <v>3.5939481E7</v>
      </c>
      <c r="D89" s="29">
        <v>1.0000588E7</v>
      </c>
      <c r="E89" s="28" t="s">
        <v>60</v>
      </c>
      <c r="F89" s="30">
        <v>46143.0</v>
      </c>
      <c r="G89" s="30">
        <v>46234.0</v>
      </c>
      <c r="H89" s="29" t="s">
        <v>210</v>
      </c>
      <c r="I89" s="31">
        <v>1389000.0</v>
      </c>
      <c r="J89" s="31"/>
      <c r="K89" s="31"/>
      <c r="L89" s="31"/>
      <c r="M89" s="31"/>
      <c r="N89" s="31"/>
      <c r="O89" s="31"/>
      <c r="P89" s="31"/>
      <c r="Q89" s="31"/>
      <c r="R89" s="31"/>
      <c r="S89" s="31"/>
      <c r="T89" s="31"/>
      <c r="U89" s="31"/>
      <c r="V89" s="31"/>
      <c r="W89" s="31"/>
      <c r="X89" s="31"/>
      <c r="Y89" s="31"/>
      <c r="Z89" s="31">
        <f t="shared" ref="Z89:AB89" si="70">$I89/3</f>
        <v>463000</v>
      </c>
      <c r="AA89" s="31">
        <f t="shared" si="70"/>
        <v>463000</v>
      </c>
      <c r="AB89" s="31">
        <f t="shared" si="70"/>
        <v>463000</v>
      </c>
      <c r="AC89" s="31"/>
      <c r="AD89" s="31"/>
      <c r="AE89" s="31"/>
      <c r="AF89" s="32"/>
      <c r="AG89" s="32"/>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row>
    <row r="90">
      <c r="A90" s="28" t="s">
        <v>211</v>
      </c>
      <c r="B90" s="29" t="s">
        <v>53</v>
      </c>
      <c r="C90" s="29">
        <v>3.0310288E7</v>
      </c>
      <c r="D90" s="29">
        <v>1.0000566E7</v>
      </c>
      <c r="E90" s="28" t="s">
        <v>60</v>
      </c>
      <c r="F90" s="30">
        <v>46143.0</v>
      </c>
      <c r="G90" s="30">
        <v>46234.0</v>
      </c>
      <c r="H90" s="29" t="s">
        <v>212</v>
      </c>
      <c r="I90" s="31">
        <v>1389000.0</v>
      </c>
      <c r="J90" s="31"/>
      <c r="K90" s="31"/>
      <c r="L90" s="31"/>
      <c r="M90" s="31"/>
      <c r="N90" s="31"/>
      <c r="O90" s="31"/>
      <c r="P90" s="31"/>
      <c r="Q90" s="31"/>
      <c r="R90" s="31"/>
      <c r="S90" s="31"/>
      <c r="T90" s="31"/>
      <c r="U90" s="31"/>
      <c r="V90" s="31"/>
      <c r="W90" s="31"/>
      <c r="X90" s="31"/>
      <c r="Y90" s="31"/>
      <c r="Z90" s="31">
        <f t="shared" ref="Z90:AB90" si="71">$I90/3</f>
        <v>463000</v>
      </c>
      <c r="AA90" s="31">
        <f t="shared" si="71"/>
        <v>463000</v>
      </c>
      <c r="AB90" s="31">
        <f t="shared" si="71"/>
        <v>463000</v>
      </c>
      <c r="AC90" s="31"/>
      <c r="AD90" s="31"/>
      <c r="AE90" s="31"/>
      <c r="AF90" s="32"/>
      <c r="AG90" s="32"/>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row>
    <row r="91">
      <c r="A91" s="28" t="s">
        <v>213</v>
      </c>
      <c r="B91" s="29" t="s">
        <v>53</v>
      </c>
      <c r="C91" s="29">
        <v>2.8787826E7</v>
      </c>
      <c r="D91" s="29">
        <v>1.00006E7</v>
      </c>
      <c r="E91" s="28" t="s">
        <v>60</v>
      </c>
      <c r="F91" s="30">
        <v>46143.0</v>
      </c>
      <c r="G91" s="30">
        <v>46234.0</v>
      </c>
      <c r="H91" s="29" t="s">
        <v>214</v>
      </c>
      <c r="I91" s="31">
        <v>1389000.0</v>
      </c>
      <c r="J91" s="31"/>
      <c r="K91" s="31"/>
      <c r="L91" s="31"/>
      <c r="M91" s="31"/>
      <c r="N91" s="31"/>
      <c r="O91" s="31"/>
      <c r="P91" s="31"/>
      <c r="Q91" s="31"/>
      <c r="R91" s="31"/>
      <c r="S91" s="31"/>
      <c r="T91" s="31"/>
      <c r="U91" s="31"/>
      <c r="V91" s="31"/>
      <c r="W91" s="31"/>
      <c r="X91" s="31"/>
      <c r="Y91" s="31"/>
      <c r="Z91" s="31">
        <f t="shared" ref="Z91:AB91" si="72">$I91/3</f>
        <v>463000</v>
      </c>
      <c r="AA91" s="31">
        <f t="shared" si="72"/>
        <v>463000</v>
      </c>
      <c r="AB91" s="31">
        <f t="shared" si="72"/>
        <v>463000</v>
      </c>
      <c r="AC91" s="31"/>
      <c r="AD91" s="31"/>
      <c r="AE91" s="31"/>
      <c r="AF91" s="32"/>
      <c r="AG91" s="32"/>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row>
    <row r="92">
      <c r="A92" s="28" t="s">
        <v>215</v>
      </c>
      <c r="B92" s="29" t="s">
        <v>53</v>
      </c>
      <c r="C92" s="29">
        <v>2.6925672E7</v>
      </c>
      <c r="D92" s="29">
        <v>1.0000587E7</v>
      </c>
      <c r="E92" s="28" t="s">
        <v>60</v>
      </c>
      <c r="F92" s="30">
        <v>46143.0</v>
      </c>
      <c r="G92" s="30">
        <v>46234.0</v>
      </c>
      <c r="H92" s="29" t="s">
        <v>216</v>
      </c>
      <c r="I92" s="31">
        <v>2778000.0</v>
      </c>
      <c r="J92" s="31"/>
      <c r="K92" s="31"/>
      <c r="L92" s="31"/>
      <c r="M92" s="31"/>
      <c r="N92" s="31"/>
      <c r="O92" s="31"/>
      <c r="P92" s="31"/>
      <c r="Q92" s="31"/>
      <c r="R92" s="31"/>
      <c r="S92" s="31"/>
      <c r="T92" s="31"/>
      <c r="U92" s="31"/>
      <c r="V92" s="31"/>
      <c r="W92" s="31"/>
      <c r="X92" s="31"/>
      <c r="Y92" s="31"/>
      <c r="Z92" s="31">
        <f t="shared" ref="Z92:AB92" si="73">$I92/3</f>
        <v>926000</v>
      </c>
      <c r="AA92" s="31">
        <f t="shared" si="73"/>
        <v>926000</v>
      </c>
      <c r="AB92" s="31">
        <f t="shared" si="73"/>
        <v>926000</v>
      </c>
      <c r="AC92" s="31"/>
      <c r="AD92" s="31"/>
      <c r="AE92" s="31"/>
      <c r="AF92" s="32"/>
      <c r="AG92" s="32"/>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row>
    <row r="93">
      <c r="A93" s="42"/>
      <c r="B93" s="42"/>
      <c r="C93" s="43"/>
      <c r="D93" s="43"/>
      <c r="E93" s="42"/>
      <c r="F93" s="43"/>
      <c r="G93" s="43"/>
      <c r="H93" s="43"/>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row>
    <row r="94">
      <c r="A94" s="42"/>
      <c r="B94" s="42"/>
      <c r="C94" s="43"/>
      <c r="D94" s="43"/>
      <c r="E94" s="42"/>
      <c r="F94" s="43"/>
      <c r="G94" s="43"/>
      <c r="H94" s="43"/>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row>
    <row r="95">
      <c r="A95" s="42"/>
      <c r="B95" s="42"/>
      <c r="C95" s="43"/>
      <c r="D95" s="43"/>
      <c r="E95" s="42"/>
      <c r="F95" s="43"/>
      <c r="G95" s="43"/>
      <c r="H95" s="43"/>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row>
    <row r="96">
      <c r="A96" s="42"/>
      <c r="B96" s="42"/>
      <c r="C96" s="43"/>
      <c r="D96" s="43"/>
      <c r="E96" s="42"/>
      <c r="F96" s="43"/>
      <c r="G96" s="43"/>
      <c r="H96" s="43"/>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row>
    <row r="97">
      <c r="A97" s="42"/>
      <c r="B97" s="42"/>
      <c r="C97" s="43"/>
      <c r="D97" s="43"/>
      <c r="E97" s="42"/>
      <c r="F97" s="43"/>
      <c r="G97" s="43"/>
      <c r="H97" s="43"/>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row>
    <row r="98">
      <c r="A98" s="42"/>
      <c r="B98" s="42"/>
      <c r="C98" s="43"/>
      <c r="D98" s="43"/>
      <c r="E98" s="42"/>
      <c r="F98" s="43"/>
      <c r="G98" s="43"/>
      <c r="H98" s="43"/>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row>
    <row r="99">
      <c r="A99" s="42"/>
      <c r="B99" s="42"/>
      <c r="C99" s="43"/>
      <c r="D99" s="43"/>
      <c r="E99" s="42"/>
      <c r="F99" s="43"/>
      <c r="G99" s="43"/>
      <c r="H99" s="43"/>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row>
    <row r="100">
      <c r="A100" s="42"/>
      <c r="B100" s="42"/>
      <c r="C100" s="43"/>
      <c r="D100" s="43"/>
      <c r="E100" s="42"/>
      <c r="F100" s="43"/>
      <c r="G100" s="43"/>
      <c r="H100" s="43"/>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row>
    <row r="101">
      <c r="A101" s="42"/>
      <c r="B101" s="42"/>
      <c r="C101" s="43"/>
      <c r="D101" s="43"/>
      <c r="E101" s="42"/>
      <c r="F101" s="43"/>
      <c r="G101" s="43"/>
      <c r="H101" s="43"/>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row>
    <row r="102">
      <c r="A102" s="42"/>
      <c r="B102" s="42"/>
      <c r="C102" s="43"/>
      <c r="D102" s="43"/>
      <c r="E102" s="42"/>
      <c r="F102" s="43"/>
      <c r="G102" s="43"/>
      <c r="H102" s="43"/>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row>
    <row r="103">
      <c r="A103" s="42"/>
      <c r="B103" s="42"/>
      <c r="C103" s="43"/>
      <c r="D103" s="43"/>
      <c r="E103" s="42"/>
      <c r="F103" s="43"/>
      <c r="G103" s="43"/>
      <c r="H103" s="43"/>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row>
    <row r="104">
      <c r="A104" s="42"/>
      <c r="B104" s="42"/>
      <c r="C104" s="43"/>
      <c r="D104" s="43"/>
      <c r="E104" s="42"/>
      <c r="F104" s="43"/>
      <c r="G104" s="43"/>
      <c r="H104" s="43"/>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row>
    <row r="105">
      <c r="A105" s="42"/>
      <c r="B105" s="42"/>
      <c r="C105" s="43"/>
      <c r="D105" s="43"/>
      <c r="E105" s="42"/>
      <c r="F105" s="43"/>
      <c r="G105" s="43"/>
      <c r="H105" s="43"/>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row>
    <row r="106">
      <c r="A106" s="42"/>
      <c r="B106" s="42"/>
      <c r="C106" s="43"/>
      <c r="D106" s="43"/>
      <c r="E106" s="42"/>
      <c r="F106" s="43"/>
      <c r="G106" s="43"/>
      <c r="H106" s="43"/>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row>
    <row r="107">
      <c r="A107" s="42"/>
      <c r="B107" s="42"/>
      <c r="C107" s="43"/>
      <c r="D107" s="43"/>
      <c r="E107" s="42"/>
      <c r="F107" s="43"/>
      <c r="G107" s="43"/>
      <c r="H107" s="43"/>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row>
    <row r="108">
      <c r="A108" s="42"/>
      <c r="B108" s="42"/>
      <c r="C108" s="43"/>
      <c r="D108" s="43"/>
      <c r="E108" s="42"/>
      <c r="F108" s="43"/>
      <c r="G108" s="43"/>
      <c r="H108" s="43"/>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row>
    <row r="109">
      <c r="A109" s="42"/>
      <c r="B109" s="42"/>
      <c r="C109" s="43"/>
      <c r="D109" s="43"/>
      <c r="E109" s="42"/>
      <c r="F109" s="43"/>
      <c r="G109" s="43"/>
      <c r="H109" s="43"/>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row>
    <row r="110">
      <c r="A110" s="42"/>
      <c r="B110" s="42"/>
      <c r="C110" s="43"/>
      <c r="D110" s="43"/>
      <c r="E110" s="42"/>
      <c r="F110" s="43"/>
      <c r="G110" s="43"/>
      <c r="H110" s="43"/>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row>
    <row r="111">
      <c r="A111" s="42"/>
      <c r="B111" s="42"/>
      <c r="C111" s="43"/>
      <c r="D111" s="43"/>
      <c r="E111" s="42"/>
      <c r="F111" s="43"/>
      <c r="G111" s="43"/>
      <c r="H111" s="43"/>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row>
    <row r="112">
      <c r="A112" s="42"/>
      <c r="B112" s="42"/>
      <c r="C112" s="43"/>
      <c r="D112" s="43"/>
      <c r="E112" s="42"/>
      <c r="F112" s="43"/>
      <c r="G112" s="43"/>
      <c r="H112" s="43"/>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row>
    <row r="113">
      <c r="A113" s="42"/>
      <c r="B113" s="42"/>
      <c r="C113" s="43"/>
      <c r="D113" s="43"/>
      <c r="E113" s="42"/>
      <c r="F113" s="43"/>
      <c r="G113" s="43"/>
      <c r="H113" s="43"/>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row>
    <row r="114">
      <c r="A114" s="42"/>
      <c r="B114" s="42"/>
      <c r="C114" s="43"/>
      <c r="D114" s="43"/>
      <c r="E114" s="42"/>
      <c r="F114" s="43"/>
      <c r="G114" s="43"/>
      <c r="H114" s="43"/>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row>
    <row r="115">
      <c r="A115" s="42"/>
      <c r="B115" s="42"/>
      <c r="C115" s="43"/>
      <c r="D115" s="43"/>
      <c r="E115" s="42"/>
      <c r="F115" s="43"/>
      <c r="G115" s="43"/>
      <c r="H115" s="43"/>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row>
    <row r="116">
      <c r="A116" s="42"/>
      <c r="B116" s="42"/>
      <c r="C116" s="43"/>
      <c r="D116" s="43"/>
      <c r="E116" s="42"/>
      <c r="F116" s="43"/>
      <c r="G116" s="43"/>
      <c r="H116" s="43"/>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row>
    <row r="117">
      <c r="A117" s="42"/>
      <c r="B117" s="42"/>
      <c r="C117" s="43"/>
      <c r="D117" s="43"/>
      <c r="E117" s="42"/>
      <c r="F117" s="43"/>
      <c r="G117" s="43"/>
      <c r="H117" s="43"/>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row>
    <row r="118">
      <c r="A118" s="42"/>
      <c r="B118" s="42"/>
      <c r="C118" s="43"/>
      <c r="D118" s="43"/>
      <c r="E118" s="42"/>
      <c r="F118" s="43"/>
      <c r="G118" s="43"/>
      <c r="H118" s="43"/>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row>
    <row r="119">
      <c r="A119" s="42"/>
      <c r="B119" s="42"/>
      <c r="C119" s="43"/>
      <c r="D119" s="43"/>
      <c r="E119" s="42"/>
      <c r="F119" s="43"/>
      <c r="G119" s="43"/>
      <c r="H119" s="43"/>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row>
    <row r="120">
      <c r="A120" s="42"/>
      <c r="B120" s="42"/>
      <c r="C120" s="43"/>
      <c r="D120" s="43"/>
      <c r="E120" s="42"/>
      <c r="F120" s="43"/>
      <c r="G120" s="43"/>
      <c r="H120" s="43"/>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row>
    <row r="121">
      <c r="A121" s="42"/>
      <c r="B121" s="42"/>
      <c r="C121" s="43"/>
      <c r="D121" s="43"/>
      <c r="E121" s="42"/>
      <c r="F121" s="43"/>
      <c r="G121" s="43"/>
      <c r="H121" s="43"/>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row>
    <row r="122">
      <c r="A122" s="42"/>
      <c r="B122" s="42"/>
      <c r="C122" s="43"/>
      <c r="D122" s="43"/>
      <c r="E122" s="42"/>
      <c r="F122" s="43"/>
      <c r="G122" s="43"/>
      <c r="H122" s="43"/>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row>
    <row r="123">
      <c r="A123" s="42"/>
      <c r="B123" s="42"/>
      <c r="C123" s="43"/>
      <c r="D123" s="43"/>
      <c r="E123" s="42"/>
      <c r="F123" s="43"/>
      <c r="G123" s="43"/>
      <c r="H123" s="43"/>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row>
    <row r="124">
      <c r="A124" s="42"/>
      <c r="B124" s="42"/>
      <c r="C124" s="43"/>
      <c r="D124" s="43"/>
      <c r="E124" s="42"/>
      <c r="F124" s="43"/>
      <c r="G124" s="43"/>
      <c r="H124" s="43"/>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row>
    <row r="125">
      <c r="A125" s="42"/>
      <c r="B125" s="42"/>
      <c r="C125" s="43"/>
      <c r="D125" s="43"/>
      <c r="E125" s="42"/>
      <c r="F125" s="43"/>
      <c r="G125" s="43"/>
      <c r="H125" s="43"/>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row>
    <row r="126">
      <c r="A126" s="42"/>
      <c r="B126" s="42"/>
      <c r="C126" s="43"/>
      <c r="D126" s="43"/>
      <c r="E126" s="42"/>
      <c r="F126" s="43"/>
      <c r="G126" s="43"/>
      <c r="H126" s="43"/>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row>
    <row r="127">
      <c r="A127" s="42"/>
      <c r="B127" s="42"/>
      <c r="C127" s="43"/>
      <c r="D127" s="43"/>
      <c r="E127" s="42"/>
      <c r="F127" s="43"/>
      <c r="G127" s="43"/>
      <c r="H127" s="43"/>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row>
    <row r="128">
      <c r="A128" s="42"/>
      <c r="B128" s="42"/>
      <c r="C128" s="43"/>
      <c r="D128" s="43"/>
      <c r="E128" s="42"/>
      <c r="F128" s="43"/>
      <c r="G128" s="43"/>
      <c r="H128" s="43"/>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row>
    <row r="129">
      <c r="A129" s="42"/>
      <c r="B129" s="42"/>
      <c r="C129" s="43"/>
      <c r="D129" s="43"/>
      <c r="E129" s="42"/>
      <c r="F129" s="43"/>
      <c r="G129" s="43"/>
      <c r="H129" s="43"/>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row>
    <row r="130">
      <c r="A130" s="42"/>
      <c r="B130" s="42"/>
      <c r="C130" s="43"/>
      <c r="D130" s="43"/>
      <c r="E130" s="42"/>
      <c r="F130" s="43"/>
      <c r="G130" s="43"/>
      <c r="H130" s="43"/>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row>
    <row r="131">
      <c r="A131" s="42"/>
      <c r="B131" s="42"/>
      <c r="C131" s="43"/>
      <c r="D131" s="43"/>
      <c r="E131" s="42"/>
      <c r="F131" s="43"/>
      <c r="G131" s="43"/>
      <c r="H131" s="43"/>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row>
    <row r="132">
      <c r="A132" s="42"/>
      <c r="B132" s="42"/>
      <c r="C132" s="43"/>
      <c r="D132" s="43"/>
      <c r="E132" s="42"/>
      <c r="F132" s="43"/>
      <c r="G132" s="43"/>
      <c r="H132" s="43"/>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row>
    <row r="133">
      <c r="A133" s="42"/>
      <c r="B133" s="42"/>
      <c r="C133" s="43"/>
      <c r="D133" s="43"/>
      <c r="E133" s="42"/>
      <c r="F133" s="43"/>
      <c r="G133" s="43"/>
      <c r="H133" s="43"/>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row>
    <row r="134">
      <c r="A134" s="42"/>
      <c r="B134" s="42"/>
      <c r="C134" s="43"/>
      <c r="D134" s="43"/>
      <c r="E134" s="42"/>
      <c r="F134" s="43"/>
      <c r="G134" s="43"/>
      <c r="H134" s="43"/>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row>
    <row r="135">
      <c r="A135" s="42"/>
      <c r="B135" s="42"/>
      <c r="C135" s="43"/>
      <c r="D135" s="43"/>
      <c r="E135" s="42"/>
      <c r="F135" s="43"/>
      <c r="G135" s="43"/>
      <c r="H135" s="43"/>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row>
    <row r="136">
      <c r="A136" s="42"/>
      <c r="B136" s="42"/>
      <c r="C136" s="43"/>
      <c r="D136" s="43"/>
      <c r="E136" s="42"/>
      <c r="F136" s="43"/>
      <c r="G136" s="43"/>
      <c r="H136" s="43"/>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row>
    <row r="137">
      <c r="A137" s="42"/>
      <c r="B137" s="42"/>
      <c r="C137" s="43"/>
      <c r="D137" s="43"/>
      <c r="E137" s="42"/>
      <c r="F137" s="43"/>
      <c r="G137" s="43"/>
      <c r="H137" s="43"/>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row>
    <row r="138">
      <c r="A138" s="42"/>
      <c r="B138" s="42"/>
      <c r="C138" s="43"/>
      <c r="D138" s="43"/>
      <c r="E138" s="42"/>
      <c r="F138" s="43"/>
      <c r="G138" s="43"/>
      <c r="H138" s="43"/>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row>
    <row r="139">
      <c r="A139" s="42"/>
      <c r="B139" s="42"/>
      <c r="C139" s="43"/>
      <c r="D139" s="43"/>
      <c r="E139" s="42"/>
      <c r="F139" s="43"/>
      <c r="G139" s="43"/>
      <c r="H139" s="43"/>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row>
    <row r="140">
      <c r="A140" s="42"/>
      <c r="B140" s="42"/>
      <c r="C140" s="43"/>
      <c r="D140" s="43"/>
      <c r="E140" s="42"/>
      <c r="F140" s="43"/>
      <c r="G140" s="43"/>
      <c r="H140" s="43"/>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row>
    <row r="141">
      <c r="A141" s="42"/>
      <c r="B141" s="42"/>
      <c r="C141" s="43"/>
      <c r="D141" s="43"/>
      <c r="E141" s="42"/>
      <c r="F141" s="43"/>
      <c r="G141" s="43"/>
      <c r="H141" s="43"/>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row>
    <row r="142">
      <c r="A142" s="42"/>
      <c r="B142" s="42"/>
      <c r="C142" s="43"/>
      <c r="D142" s="43"/>
      <c r="E142" s="42"/>
      <c r="F142" s="43"/>
      <c r="G142" s="43"/>
      <c r="H142" s="43"/>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row>
    <row r="143">
      <c r="A143" s="42"/>
      <c r="B143" s="42"/>
      <c r="C143" s="43"/>
      <c r="D143" s="43"/>
      <c r="E143" s="42"/>
      <c r="F143" s="43"/>
      <c r="G143" s="43"/>
      <c r="H143" s="43"/>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row>
    <row r="144">
      <c r="A144" s="42"/>
      <c r="B144" s="42"/>
      <c r="C144" s="43"/>
      <c r="D144" s="43"/>
      <c r="E144" s="42"/>
      <c r="F144" s="43"/>
      <c r="G144" s="43"/>
      <c r="H144" s="43"/>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row>
    <row r="145">
      <c r="A145" s="42"/>
      <c r="B145" s="42"/>
      <c r="C145" s="43"/>
      <c r="D145" s="43"/>
      <c r="E145" s="42"/>
      <c r="F145" s="43"/>
      <c r="G145" s="43"/>
      <c r="H145" s="43"/>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row>
    <row r="146">
      <c r="A146" s="42"/>
      <c r="B146" s="42"/>
      <c r="C146" s="43"/>
      <c r="D146" s="43"/>
      <c r="E146" s="42"/>
      <c r="F146" s="43"/>
      <c r="G146" s="43"/>
      <c r="H146" s="43"/>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row>
    <row r="147">
      <c r="A147" s="42"/>
      <c r="B147" s="42"/>
      <c r="C147" s="43"/>
      <c r="D147" s="43"/>
      <c r="E147" s="42"/>
      <c r="F147" s="43"/>
      <c r="G147" s="43"/>
      <c r="H147" s="43"/>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row>
    <row r="148">
      <c r="A148" s="42"/>
      <c r="B148" s="42"/>
      <c r="C148" s="43"/>
      <c r="D148" s="43"/>
      <c r="E148" s="42"/>
      <c r="F148" s="43"/>
      <c r="G148" s="43"/>
      <c r="H148" s="43"/>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row>
    <row r="149">
      <c r="A149" s="42"/>
      <c r="B149" s="42"/>
      <c r="C149" s="43"/>
      <c r="D149" s="43"/>
      <c r="E149" s="42"/>
      <c r="F149" s="43"/>
      <c r="G149" s="43"/>
      <c r="H149" s="43"/>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row>
    <row r="150">
      <c r="A150" s="42"/>
      <c r="B150" s="42"/>
      <c r="C150" s="43"/>
      <c r="D150" s="43"/>
      <c r="E150" s="42"/>
      <c r="F150" s="43"/>
      <c r="G150" s="43"/>
      <c r="H150" s="43"/>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row>
    <row r="151">
      <c r="A151" s="42"/>
      <c r="B151" s="42"/>
      <c r="C151" s="43"/>
      <c r="D151" s="43"/>
      <c r="E151" s="42"/>
      <c r="F151" s="43"/>
      <c r="G151" s="43"/>
      <c r="H151" s="43"/>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row>
    <row r="152">
      <c r="A152" s="42"/>
      <c r="B152" s="42"/>
      <c r="C152" s="43"/>
      <c r="D152" s="43"/>
      <c r="E152" s="42"/>
      <c r="F152" s="43"/>
      <c r="G152" s="43"/>
      <c r="H152" s="43"/>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row>
    <row r="153">
      <c r="A153" s="42"/>
      <c r="B153" s="42"/>
      <c r="C153" s="43"/>
      <c r="D153" s="43"/>
      <c r="E153" s="42"/>
      <c r="F153" s="43"/>
      <c r="G153" s="43"/>
      <c r="H153" s="43"/>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row>
    <row r="154">
      <c r="A154" s="42"/>
      <c r="B154" s="42"/>
      <c r="C154" s="43"/>
      <c r="D154" s="43"/>
      <c r="E154" s="42"/>
      <c r="F154" s="43"/>
      <c r="G154" s="43"/>
      <c r="H154" s="43"/>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row>
    <row r="155">
      <c r="A155" s="42"/>
      <c r="B155" s="42"/>
      <c r="C155" s="43"/>
      <c r="D155" s="43"/>
      <c r="E155" s="42"/>
      <c r="F155" s="43"/>
      <c r="G155" s="43"/>
      <c r="H155" s="43"/>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row>
    <row r="156">
      <c r="A156" s="42"/>
      <c r="B156" s="42"/>
      <c r="C156" s="43"/>
      <c r="D156" s="43"/>
      <c r="E156" s="42"/>
      <c r="F156" s="43"/>
      <c r="G156" s="43"/>
      <c r="H156" s="43"/>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row>
    <row r="157">
      <c r="A157" s="42"/>
      <c r="B157" s="42"/>
      <c r="C157" s="43"/>
      <c r="D157" s="43"/>
      <c r="E157" s="42"/>
      <c r="F157" s="43"/>
      <c r="G157" s="43"/>
      <c r="H157" s="43"/>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row>
    <row r="158">
      <c r="A158" s="42"/>
      <c r="B158" s="42"/>
      <c r="C158" s="43"/>
      <c r="D158" s="43"/>
      <c r="E158" s="42"/>
      <c r="F158" s="43"/>
      <c r="G158" s="43"/>
      <c r="H158" s="43"/>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row>
    <row r="159">
      <c r="A159" s="42"/>
      <c r="B159" s="42"/>
      <c r="C159" s="43"/>
      <c r="D159" s="43"/>
      <c r="E159" s="42"/>
      <c r="F159" s="43"/>
      <c r="G159" s="43"/>
      <c r="H159" s="43"/>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row>
    <row r="160">
      <c r="A160" s="42"/>
      <c r="B160" s="42"/>
      <c r="C160" s="43"/>
      <c r="D160" s="43"/>
      <c r="E160" s="42"/>
      <c r="F160" s="43"/>
      <c r="G160" s="43"/>
      <c r="H160" s="43"/>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row>
    <row r="161">
      <c r="A161" s="42"/>
      <c r="B161" s="42"/>
      <c r="C161" s="43"/>
      <c r="D161" s="43"/>
      <c r="E161" s="42"/>
      <c r="F161" s="43"/>
      <c r="G161" s="43"/>
      <c r="H161" s="43"/>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row>
    <row r="162">
      <c r="A162" s="42"/>
      <c r="B162" s="42"/>
      <c r="C162" s="43"/>
      <c r="D162" s="43"/>
      <c r="E162" s="42"/>
      <c r="F162" s="43"/>
      <c r="G162" s="43"/>
      <c r="H162" s="43"/>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row>
    <row r="163">
      <c r="A163" s="42"/>
      <c r="B163" s="42"/>
      <c r="C163" s="43"/>
      <c r="D163" s="43"/>
      <c r="E163" s="42"/>
      <c r="F163" s="43"/>
      <c r="G163" s="43"/>
      <c r="H163" s="43"/>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row>
    <row r="164">
      <c r="A164" s="42"/>
      <c r="B164" s="42"/>
      <c r="C164" s="43"/>
      <c r="D164" s="43"/>
      <c r="E164" s="42"/>
      <c r="F164" s="43"/>
      <c r="G164" s="43"/>
      <c r="H164" s="43"/>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row>
    <row r="165">
      <c r="A165" s="42"/>
      <c r="B165" s="42"/>
      <c r="C165" s="43"/>
      <c r="D165" s="43"/>
      <c r="E165" s="42"/>
      <c r="F165" s="43"/>
      <c r="G165" s="43"/>
      <c r="H165" s="43"/>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row>
    <row r="166">
      <c r="A166" s="42"/>
      <c r="B166" s="42"/>
      <c r="C166" s="43"/>
      <c r="D166" s="43"/>
      <c r="E166" s="42"/>
      <c r="F166" s="43"/>
      <c r="G166" s="43"/>
      <c r="H166" s="43"/>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row>
    <row r="167">
      <c r="A167" s="42"/>
      <c r="B167" s="42"/>
      <c r="C167" s="43"/>
      <c r="D167" s="43"/>
      <c r="E167" s="42"/>
      <c r="F167" s="43"/>
      <c r="G167" s="43"/>
      <c r="H167" s="43"/>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row>
    <row r="168">
      <c r="A168" s="42"/>
      <c r="B168" s="42"/>
      <c r="C168" s="43"/>
      <c r="D168" s="43"/>
      <c r="E168" s="42"/>
      <c r="F168" s="43"/>
      <c r="G168" s="43"/>
      <c r="H168" s="43"/>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row>
    <row r="169">
      <c r="A169" s="42"/>
      <c r="B169" s="42"/>
      <c r="C169" s="43"/>
      <c r="D169" s="43"/>
      <c r="E169" s="42"/>
      <c r="F169" s="43"/>
      <c r="G169" s="43"/>
      <c r="H169" s="43"/>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row>
    <row r="170">
      <c r="A170" s="42"/>
      <c r="B170" s="42"/>
      <c r="C170" s="43"/>
      <c r="D170" s="43"/>
      <c r="E170" s="42"/>
      <c r="F170" s="43"/>
      <c r="G170" s="43"/>
      <c r="H170" s="43"/>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row>
    <row r="171">
      <c r="A171" s="42"/>
      <c r="B171" s="42"/>
      <c r="C171" s="43"/>
      <c r="D171" s="43"/>
      <c r="E171" s="42"/>
      <c r="F171" s="43"/>
      <c r="G171" s="43"/>
      <c r="H171" s="43"/>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row>
    <row r="172">
      <c r="A172" s="42"/>
      <c r="B172" s="42"/>
      <c r="C172" s="43"/>
      <c r="D172" s="43"/>
      <c r="E172" s="42"/>
      <c r="F172" s="43"/>
      <c r="G172" s="43"/>
      <c r="H172" s="43"/>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row>
    <row r="173">
      <c r="A173" s="42"/>
      <c r="B173" s="42"/>
      <c r="C173" s="43"/>
      <c r="D173" s="43"/>
      <c r="E173" s="42"/>
      <c r="F173" s="43"/>
      <c r="G173" s="43"/>
      <c r="H173" s="43"/>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row>
    <row r="174">
      <c r="A174" s="42"/>
      <c r="B174" s="42"/>
      <c r="C174" s="43"/>
      <c r="D174" s="43"/>
      <c r="E174" s="42"/>
      <c r="F174" s="43"/>
      <c r="G174" s="43"/>
      <c r="H174" s="43"/>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row>
    <row r="175">
      <c r="A175" s="42"/>
      <c r="B175" s="42"/>
      <c r="C175" s="43"/>
      <c r="D175" s="43"/>
      <c r="E175" s="42"/>
      <c r="F175" s="43"/>
      <c r="G175" s="43"/>
      <c r="H175" s="43"/>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row>
    <row r="176">
      <c r="A176" s="42"/>
      <c r="B176" s="42"/>
      <c r="C176" s="43"/>
      <c r="D176" s="43"/>
      <c r="E176" s="42"/>
      <c r="F176" s="43"/>
      <c r="G176" s="43"/>
      <c r="H176" s="43"/>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row>
    <row r="177">
      <c r="A177" s="42"/>
      <c r="B177" s="42"/>
      <c r="C177" s="43"/>
      <c r="D177" s="43"/>
      <c r="E177" s="42"/>
      <c r="F177" s="43"/>
      <c r="G177" s="43"/>
      <c r="H177" s="43"/>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row>
    <row r="178">
      <c r="A178" s="42"/>
      <c r="B178" s="42"/>
      <c r="C178" s="43"/>
      <c r="D178" s="43"/>
      <c r="E178" s="42"/>
      <c r="F178" s="43"/>
      <c r="G178" s="43"/>
      <c r="H178" s="43"/>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row>
    <row r="179">
      <c r="A179" s="42"/>
      <c r="B179" s="42"/>
      <c r="C179" s="43"/>
      <c r="D179" s="43"/>
      <c r="E179" s="42"/>
      <c r="F179" s="43"/>
      <c r="G179" s="43"/>
      <c r="H179" s="43"/>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row>
    <row r="180">
      <c r="A180" s="42"/>
      <c r="B180" s="42"/>
      <c r="C180" s="43"/>
      <c r="D180" s="43"/>
      <c r="E180" s="42"/>
      <c r="F180" s="43"/>
      <c r="G180" s="43"/>
      <c r="H180" s="43"/>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row>
    <row r="181">
      <c r="A181" s="42"/>
      <c r="B181" s="42"/>
      <c r="C181" s="43"/>
      <c r="D181" s="43"/>
      <c r="E181" s="42"/>
      <c r="F181" s="43"/>
      <c r="G181" s="43"/>
      <c r="H181" s="43"/>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row>
    <row r="182">
      <c r="A182" s="42"/>
      <c r="B182" s="42"/>
      <c r="C182" s="43"/>
      <c r="D182" s="43"/>
      <c r="E182" s="42"/>
      <c r="F182" s="43"/>
      <c r="G182" s="43"/>
      <c r="H182" s="43"/>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row>
    <row r="183">
      <c r="A183" s="42"/>
      <c r="B183" s="42"/>
      <c r="C183" s="43"/>
      <c r="D183" s="43"/>
      <c r="E183" s="42"/>
      <c r="F183" s="43"/>
      <c r="G183" s="43"/>
      <c r="H183" s="43"/>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row>
    <row r="184">
      <c r="A184" s="42"/>
      <c r="B184" s="42"/>
      <c r="C184" s="43"/>
      <c r="D184" s="43"/>
      <c r="E184" s="42"/>
      <c r="F184" s="43"/>
      <c r="G184" s="43"/>
      <c r="H184" s="43"/>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row>
    <row r="185">
      <c r="A185" s="42"/>
      <c r="B185" s="42"/>
      <c r="C185" s="43"/>
      <c r="D185" s="43"/>
      <c r="E185" s="42"/>
      <c r="F185" s="43"/>
      <c r="G185" s="43"/>
      <c r="H185" s="43"/>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row>
    <row r="186">
      <c r="A186" s="42"/>
      <c r="B186" s="42"/>
      <c r="C186" s="43"/>
      <c r="D186" s="43"/>
      <c r="E186" s="42"/>
      <c r="F186" s="43"/>
      <c r="G186" s="43"/>
      <c r="H186" s="43"/>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row>
    <row r="187">
      <c r="A187" s="42"/>
      <c r="B187" s="42"/>
      <c r="C187" s="43"/>
      <c r="D187" s="43"/>
      <c r="E187" s="42"/>
      <c r="F187" s="43"/>
      <c r="G187" s="43"/>
      <c r="H187" s="43"/>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row>
    <row r="188">
      <c r="A188" s="42"/>
      <c r="B188" s="42"/>
      <c r="C188" s="43"/>
      <c r="D188" s="43"/>
      <c r="E188" s="42"/>
      <c r="F188" s="43"/>
      <c r="G188" s="43"/>
      <c r="H188" s="43"/>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c r="BC188" s="44"/>
      <c r="BD188" s="44"/>
      <c r="BE188" s="44"/>
    </row>
    <row r="189">
      <c r="A189" s="42"/>
      <c r="B189" s="42"/>
      <c r="C189" s="43"/>
      <c r="D189" s="43"/>
      <c r="E189" s="42"/>
      <c r="F189" s="43"/>
      <c r="G189" s="43"/>
      <c r="H189" s="43"/>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row>
    <row r="190">
      <c r="A190" s="42"/>
      <c r="B190" s="42"/>
      <c r="C190" s="43"/>
      <c r="D190" s="43"/>
      <c r="E190" s="42"/>
      <c r="F190" s="43"/>
      <c r="G190" s="43"/>
      <c r="H190" s="43"/>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44"/>
      <c r="BE190" s="44"/>
    </row>
    <row r="191">
      <c r="A191" s="42"/>
      <c r="B191" s="42"/>
      <c r="C191" s="43"/>
      <c r="D191" s="43"/>
      <c r="E191" s="42"/>
      <c r="F191" s="43"/>
      <c r="G191" s="43"/>
      <c r="H191" s="43"/>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row>
    <row r="192">
      <c r="A192" s="42"/>
      <c r="B192" s="42"/>
      <c r="C192" s="43"/>
      <c r="D192" s="43"/>
      <c r="E192" s="42"/>
      <c r="F192" s="43"/>
      <c r="G192" s="43"/>
      <c r="H192" s="43"/>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4"/>
      <c r="BD192" s="44"/>
      <c r="BE192" s="44"/>
    </row>
    <row r="193">
      <c r="A193" s="42"/>
      <c r="B193" s="42"/>
      <c r="C193" s="43"/>
      <c r="D193" s="43"/>
      <c r="E193" s="42"/>
      <c r="F193" s="43"/>
      <c r="G193" s="43"/>
      <c r="H193" s="43"/>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row>
    <row r="194">
      <c r="A194" s="42"/>
      <c r="B194" s="42"/>
      <c r="C194" s="43"/>
      <c r="D194" s="43"/>
      <c r="E194" s="42"/>
      <c r="F194" s="43"/>
      <c r="G194" s="43"/>
      <c r="H194" s="43"/>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row>
    <row r="195">
      <c r="A195" s="42"/>
      <c r="B195" s="42"/>
      <c r="C195" s="43"/>
      <c r="D195" s="43"/>
      <c r="E195" s="42"/>
      <c r="F195" s="43"/>
      <c r="G195" s="43"/>
      <c r="H195" s="43"/>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row>
    <row r="196">
      <c r="A196" s="42"/>
      <c r="B196" s="42"/>
      <c r="C196" s="43"/>
      <c r="D196" s="43"/>
      <c r="E196" s="42"/>
      <c r="F196" s="43"/>
      <c r="G196" s="43"/>
      <c r="H196" s="43"/>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row>
    <row r="197">
      <c r="A197" s="42"/>
      <c r="B197" s="42"/>
      <c r="C197" s="43"/>
      <c r="D197" s="43"/>
      <c r="E197" s="42"/>
      <c r="F197" s="43"/>
      <c r="G197" s="43"/>
      <c r="H197" s="43"/>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row>
    <row r="198">
      <c r="A198" s="42"/>
      <c r="B198" s="42"/>
      <c r="C198" s="43"/>
      <c r="D198" s="43"/>
      <c r="E198" s="42"/>
      <c r="F198" s="43"/>
      <c r="G198" s="43"/>
      <c r="H198" s="43"/>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row>
    <row r="199">
      <c r="A199" s="42"/>
      <c r="B199" s="42"/>
      <c r="C199" s="43"/>
      <c r="D199" s="43"/>
      <c r="E199" s="42"/>
      <c r="F199" s="43"/>
      <c r="G199" s="43"/>
      <c r="H199" s="43"/>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4"/>
      <c r="BD199" s="44"/>
      <c r="BE199" s="44"/>
    </row>
    <row r="200">
      <c r="A200" s="42"/>
      <c r="B200" s="42"/>
      <c r="C200" s="43"/>
      <c r="D200" s="43"/>
      <c r="E200" s="42"/>
      <c r="F200" s="43"/>
      <c r="G200" s="43"/>
      <c r="H200" s="43"/>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row>
    <row r="201">
      <c r="A201" s="42"/>
      <c r="B201" s="42"/>
      <c r="C201" s="43"/>
      <c r="D201" s="43"/>
      <c r="E201" s="42"/>
      <c r="F201" s="43"/>
      <c r="G201" s="43"/>
      <c r="H201" s="43"/>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row>
    <row r="202">
      <c r="A202" s="42"/>
      <c r="B202" s="42"/>
      <c r="C202" s="43"/>
      <c r="D202" s="43"/>
      <c r="E202" s="42"/>
      <c r="F202" s="43"/>
      <c r="G202" s="43"/>
      <c r="H202" s="43"/>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row>
    <row r="203">
      <c r="A203" s="42"/>
      <c r="B203" s="42"/>
      <c r="C203" s="43"/>
      <c r="D203" s="43"/>
      <c r="E203" s="42"/>
      <c r="F203" s="43"/>
      <c r="G203" s="43"/>
      <c r="H203" s="43"/>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row>
    <row r="204">
      <c r="A204" s="42"/>
      <c r="B204" s="42"/>
      <c r="C204" s="43"/>
      <c r="D204" s="43"/>
      <c r="E204" s="42"/>
      <c r="F204" s="43"/>
      <c r="G204" s="43"/>
      <c r="H204" s="43"/>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row>
    <row r="205">
      <c r="A205" s="42"/>
      <c r="B205" s="42"/>
      <c r="C205" s="43"/>
      <c r="D205" s="43"/>
      <c r="E205" s="42"/>
      <c r="F205" s="43"/>
      <c r="G205" s="43"/>
      <c r="H205" s="43"/>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row>
    <row r="206">
      <c r="A206" s="42"/>
      <c r="B206" s="42"/>
      <c r="C206" s="43"/>
      <c r="D206" s="43"/>
      <c r="E206" s="42"/>
      <c r="F206" s="43"/>
      <c r="G206" s="43"/>
      <c r="H206" s="43"/>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row>
    <row r="207">
      <c r="A207" s="42"/>
      <c r="B207" s="42"/>
      <c r="C207" s="43"/>
      <c r="D207" s="43"/>
      <c r="E207" s="42"/>
      <c r="F207" s="43"/>
      <c r="G207" s="43"/>
      <c r="H207" s="43"/>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row>
    <row r="208">
      <c r="A208" s="42"/>
      <c r="B208" s="42"/>
      <c r="C208" s="43"/>
      <c r="D208" s="43"/>
      <c r="E208" s="42"/>
      <c r="F208" s="43"/>
      <c r="G208" s="43"/>
      <c r="H208" s="43"/>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row>
    <row r="209">
      <c r="A209" s="42"/>
      <c r="B209" s="42"/>
      <c r="C209" s="43"/>
      <c r="D209" s="43"/>
      <c r="E209" s="42"/>
      <c r="F209" s="43"/>
      <c r="G209" s="43"/>
      <c r="H209" s="43"/>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row>
    <row r="210">
      <c r="A210" s="42"/>
      <c r="B210" s="42"/>
      <c r="C210" s="43"/>
      <c r="D210" s="43"/>
      <c r="E210" s="42"/>
      <c r="F210" s="43"/>
      <c r="G210" s="43"/>
      <c r="H210" s="43"/>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row>
    <row r="211">
      <c r="A211" s="42"/>
      <c r="B211" s="42"/>
      <c r="C211" s="43"/>
      <c r="D211" s="43"/>
      <c r="E211" s="42"/>
      <c r="F211" s="43"/>
      <c r="G211" s="43"/>
      <c r="H211" s="43"/>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row>
    <row r="212">
      <c r="A212" s="42"/>
      <c r="B212" s="42"/>
      <c r="C212" s="43"/>
      <c r="D212" s="43"/>
      <c r="E212" s="42"/>
      <c r="F212" s="43"/>
      <c r="G212" s="43"/>
      <c r="H212" s="43"/>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row>
    <row r="213">
      <c r="A213" s="42"/>
      <c r="B213" s="42"/>
      <c r="C213" s="43"/>
      <c r="D213" s="43"/>
      <c r="E213" s="42"/>
      <c r="F213" s="43"/>
      <c r="G213" s="43"/>
      <c r="H213" s="43"/>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row>
    <row r="214">
      <c r="A214" s="42"/>
      <c r="B214" s="42"/>
      <c r="C214" s="43"/>
      <c r="D214" s="43"/>
      <c r="E214" s="42"/>
      <c r="F214" s="43"/>
      <c r="G214" s="43"/>
      <c r="H214" s="43"/>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row>
    <row r="215">
      <c r="A215" s="42"/>
      <c r="B215" s="42"/>
      <c r="C215" s="43"/>
      <c r="D215" s="43"/>
      <c r="E215" s="42"/>
      <c r="F215" s="43"/>
      <c r="G215" s="43"/>
      <c r="H215" s="43"/>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row>
    <row r="216">
      <c r="A216" s="42"/>
      <c r="B216" s="42"/>
      <c r="C216" s="43"/>
      <c r="D216" s="43"/>
      <c r="E216" s="42"/>
      <c r="F216" s="43"/>
      <c r="G216" s="43"/>
      <c r="H216" s="43"/>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row>
    <row r="217">
      <c r="A217" s="42"/>
      <c r="B217" s="42"/>
      <c r="C217" s="43"/>
      <c r="D217" s="43"/>
      <c r="E217" s="42"/>
      <c r="F217" s="43"/>
      <c r="G217" s="43"/>
      <c r="H217" s="43"/>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row>
    <row r="218">
      <c r="A218" s="42"/>
      <c r="B218" s="42"/>
      <c r="C218" s="43"/>
      <c r="D218" s="43"/>
      <c r="E218" s="42"/>
      <c r="F218" s="43"/>
      <c r="G218" s="43"/>
      <c r="H218" s="43"/>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44"/>
      <c r="BE218" s="44"/>
    </row>
    <row r="219">
      <c r="A219" s="42"/>
      <c r="B219" s="42"/>
      <c r="C219" s="43"/>
      <c r="D219" s="43"/>
      <c r="E219" s="42"/>
      <c r="F219" s="43"/>
      <c r="G219" s="43"/>
      <c r="H219" s="43"/>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row>
    <row r="220">
      <c r="A220" s="42"/>
      <c r="B220" s="42"/>
      <c r="C220" s="43"/>
      <c r="D220" s="43"/>
      <c r="E220" s="42"/>
      <c r="F220" s="43"/>
      <c r="G220" s="43"/>
      <c r="H220" s="43"/>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row>
    <row r="221">
      <c r="A221" s="42"/>
      <c r="B221" s="42"/>
      <c r="C221" s="43"/>
      <c r="D221" s="43"/>
      <c r="E221" s="42"/>
      <c r="F221" s="43"/>
      <c r="G221" s="43"/>
      <c r="H221" s="43"/>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row>
    <row r="222">
      <c r="A222" s="42"/>
      <c r="B222" s="42"/>
      <c r="C222" s="43"/>
      <c r="D222" s="43"/>
      <c r="E222" s="42"/>
      <c r="F222" s="43"/>
      <c r="G222" s="43"/>
      <c r="H222" s="43"/>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row>
    <row r="223">
      <c r="A223" s="42"/>
      <c r="B223" s="42"/>
      <c r="C223" s="43"/>
      <c r="D223" s="43"/>
      <c r="E223" s="42"/>
      <c r="F223" s="43"/>
      <c r="G223" s="43"/>
      <c r="H223" s="43"/>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row>
    <row r="224">
      <c r="A224" s="42"/>
      <c r="B224" s="42"/>
      <c r="C224" s="43"/>
      <c r="D224" s="43"/>
      <c r="E224" s="42"/>
      <c r="F224" s="43"/>
      <c r="G224" s="43"/>
      <c r="H224" s="43"/>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row>
    <row r="225">
      <c r="A225" s="42"/>
      <c r="B225" s="42"/>
      <c r="C225" s="43"/>
      <c r="D225" s="43"/>
      <c r="E225" s="42"/>
      <c r="F225" s="43"/>
      <c r="G225" s="43"/>
      <c r="H225" s="43"/>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row>
    <row r="226">
      <c r="A226" s="42"/>
      <c r="B226" s="42"/>
      <c r="C226" s="43"/>
      <c r="D226" s="43"/>
      <c r="E226" s="42"/>
      <c r="F226" s="43"/>
      <c r="G226" s="43"/>
      <c r="H226" s="43"/>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row>
    <row r="227">
      <c r="A227" s="42"/>
      <c r="B227" s="42"/>
      <c r="C227" s="43"/>
      <c r="D227" s="43"/>
      <c r="E227" s="42"/>
      <c r="F227" s="43"/>
      <c r="G227" s="43"/>
      <c r="H227" s="43"/>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row>
    <row r="228">
      <c r="A228" s="42"/>
      <c r="B228" s="42"/>
      <c r="C228" s="43"/>
      <c r="D228" s="43"/>
      <c r="E228" s="42"/>
      <c r="F228" s="43"/>
      <c r="G228" s="43"/>
      <c r="H228" s="43"/>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row>
    <row r="229">
      <c r="A229" s="42"/>
      <c r="B229" s="42"/>
      <c r="C229" s="43"/>
      <c r="D229" s="43"/>
      <c r="E229" s="42"/>
      <c r="F229" s="43"/>
      <c r="G229" s="43"/>
      <c r="H229" s="43"/>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row>
    <row r="230">
      <c r="A230" s="42"/>
      <c r="B230" s="42"/>
      <c r="C230" s="43"/>
      <c r="D230" s="43"/>
      <c r="E230" s="42"/>
      <c r="F230" s="43"/>
      <c r="G230" s="43"/>
      <c r="H230" s="43"/>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row>
    <row r="231">
      <c r="A231" s="42"/>
      <c r="B231" s="42"/>
      <c r="C231" s="43"/>
      <c r="D231" s="43"/>
      <c r="E231" s="42"/>
      <c r="F231" s="43"/>
      <c r="G231" s="43"/>
      <c r="H231" s="43"/>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row>
    <row r="232">
      <c r="A232" s="42"/>
      <c r="B232" s="42"/>
      <c r="C232" s="43"/>
      <c r="D232" s="43"/>
      <c r="E232" s="42"/>
      <c r="F232" s="43"/>
      <c r="G232" s="43"/>
      <c r="H232" s="43"/>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row>
    <row r="233">
      <c r="A233" s="42"/>
      <c r="B233" s="42"/>
      <c r="C233" s="43"/>
      <c r="D233" s="43"/>
      <c r="E233" s="42"/>
      <c r="F233" s="43"/>
      <c r="G233" s="43"/>
      <c r="H233" s="43"/>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row>
    <row r="234">
      <c r="A234" s="42"/>
      <c r="B234" s="42"/>
      <c r="C234" s="43"/>
      <c r="D234" s="43"/>
      <c r="E234" s="42"/>
      <c r="F234" s="43"/>
      <c r="G234" s="43"/>
      <c r="H234" s="43"/>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row>
    <row r="235">
      <c r="A235" s="42"/>
      <c r="B235" s="42"/>
      <c r="C235" s="43"/>
      <c r="D235" s="43"/>
      <c r="E235" s="42"/>
      <c r="F235" s="43"/>
      <c r="G235" s="43"/>
      <c r="H235" s="43"/>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row>
    <row r="236">
      <c r="A236" s="42"/>
      <c r="B236" s="42"/>
      <c r="C236" s="43"/>
      <c r="D236" s="43"/>
      <c r="E236" s="42"/>
      <c r="F236" s="43"/>
      <c r="G236" s="43"/>
      <c r="H236" s="43"/>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row>
    <row r="237">
      <c r="A237" s="42"/>
      <c r="B237" s="42"/>
      <c r="C237" s="43"/>
      <c r="D237" s="43"/>
      <c r="E237" s="42"/>
      <c r="F237" s="43"/>
      <c r="G237" s="43"/>
      <c r="H237" s="43"/>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row>
    <row r="238">
      <c r="A238" s="42"/>
      <c r="B238" s="42"/>
      <c r="C238" s="43"/>
      <c r="D238" s="43"/>
      <c r="E238" s="42"/>
      <c r="F238" s="43"/>
      <c r="G238" s="43"/>
      <c r="H238" s="43"/>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row>
    <row r="239">
      <c r="A239" s="42"/>
      <c r="B239" s="42"/>
      <c r="C239" s="43"/>
      <c r="D239" s="43"/>
      <c r="E239" s="42"/>
      <c r="F239" s="43"/>
      <c r="G239" s="43"/>
      <c r="H239" s="43"/>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row>
    <row r="240">
      <c r="A240" s="42"/>
      <c r="B240" s="42"/>
      <c r="C240" s="43"/>
      <c r="D240" s="43"/>
      <c r="E240" s="42"/>
      <c r="F240" s="43"/>
      <c r="G240" s="43"/>
      <c r="H240" s="43"/>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44"/>
      <c r="AZ240" s="44"/>
      <c r="BA240" s="44"/>
      <c r="BB240" s="44"/>
      <c r="BC240" s="44"/>
      <c r="BD240" s="44"/>
      <c r="BE240" s="44"/>
    </row>
    <row r="241">
      <c r="A241" s="42"/>
      <c r="B241" s="42"/>
      <c r="C241" s="43"/>
      <c r="D241" s="43"/>
      <c r="E241" s="42"/>
      <c r="F241" s="43"/>
      <c r="G241" s="43"/>
      <c r="H241" s="43"/>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44"/>
      <c r="AZ241" s="44"/>
      <c r="BA241" s="44"/>
      <c r="BB241" s="44"/>
      <c r="BC241" s="44"/>
      <c r="BD241" s="44"/>
      <c r="BE241" s="44"/>
    </row>
    <row r="242">
      <c r="A242" s="42"/>
      <c r="B242" s="42"/>
      <c r="C242" s="43"/>
      <c r="D242" s="43"/>
      <c r="E242" s="42"/>
      <c r="F242" s="43"/>
      <c r="G242" s="43"/>
      <c r="H242" s="43"/>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c r="BB242" s="44"/>
      <c r="BC242" s="44"/>
      <c r="BD242" s="44"/>
      <c r="BE242" s="44"/>
    </row>
    <row r="243">
      <c r="A243" s="42"/>
      <c r="B243" s="42"/>
      <c r="C243" s="43"/>
      <c r="D243" s="43"/>
      <c r="E243" s="42"/>
      <c r="F243" s="43"/>
      <c r="G243" s="43"/>
      <c r="H243" s="43"/>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c r="AY243" s="44"/>
      <c r="AZ243" s="44"/>
      <c r="BA243" s="44"/>
      <c r="BB243" s="44"/>
      <c r="BC243" s="44"/>
      <c r="BD243" s="44"/>
      <c r="BE243" s="44"/>
    </row>
    <row r="244">
      <c r="A244" s="42"/>
      <c r="B244" s="42"/>
      <c r="C244" s="43"/>
      <c r="D244" s="43"/>
      <c r="E244" s="42"/>
      <c r="F244" s="43"/>
      <c r="G244" s="43"/>
      <c r="H244" s="43"/>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c r="BB244" s="44"/>
      <c r="BC244" s="44"/>
      <c r="BD244" s="44"/>
      <c r="BE244" s="44"/>
    </row>
    <row r="245">
      <c r="A245" s="42"/>
      <c r="B245" s="42"/>
      <c r="C245" s="43"/>
      <c r="D245" s="43"/>
      <c r="E245" s="42"/>
      <c r="F245" s="43"/>
      <c r="G245" s="43"/>
      <c r="H245" s="43"/>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c r="BB245" s="44"/>
      <c r="BC245" s="44"/>
      <c r="BD245" s="44"/>
      <c r="BE245" s="44"/>
    </row>
    <row r="246">
      <c r="A246" s="42"/>
      <c r="B246" s="42"/>
      <c r="C246" s="43"/>
      <c r="D246" s="43"/>
      <c r="E246" s="42"/>
      <c r="F246" s="43"/>
      <c r="G246" s="43"/>
      <c r="H246" s="43"/>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row>
    <row r="247">
      <c r="A247" s="42"/>
      <c r="B247" s="42"/>
      <c r="C247" s="43"/>
      <c r="D247" s="43"/>
      <c r="E247" s="42"/>
      <c r="F247" s="43"/>
      <c r="G247" s="43"/>
      <c r="H247" s="43"/>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44"/>
      <c r="AZ247" s="44"/>
      <c r="BA247" s="44"/>
      <c r="BB247" s="44"/>
      <c r="BC247" s="44"/>
      <c r="BD247" s="44"/>
      <c r="BE247" s="44"/>
    </row>
    <row r="248">
      <c r="A248" s="42"/>
      <c r="B248" s="42"/>
      <c r="C248" s="43"/>
      <c r="D248" s="43"/>
      <c r="E248" s="42"/>
      <c r="F248" s="43"/>
      <c r="G248" s="43"/>
      <c r="H248" s="43"/>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44"/>
      <c r="AZ248" s="44"/>
      <c r="BA248" s="44"/>
      <c r="BB248" s="44"/>
      <c r="BC248" s="44"/>
      <c r="BD248" s="44"/>
      <c r="BE248" s="44"/>
    </row>
    <row r="249">
      <c r="A249" s="42"/>
      <c r="B249" s="42"/>
      <c r="C249" s="43"/>
      <c r="D249" s="43"/>
      <c r="E249" s="42"/>
      <c r="F249" s="43"/>
      <c r="G249" s="43"/>
      <c r="H249" s="43"/>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row>
    <row r="250">
      <c r="A250" s="42"/>
      <c r="B250" s="42"/>
      <c r="C250" s="43"/>
      <c r="D250" s="43"/>
      <c r="E250" s="42"/>
      <c r="F250" s="43"/>
      <c r="G250" s="43"/>
      <c r="H250" s="43"/>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44"/>
      <c r="BE250" s="44"/>
    </row>
    <row r="251">
      <c r="A251" s="42"/>
      <c r="B251" s="42"/>
      <c r="C251" s="43"/>
      <c r="D251" s="43"/>
      <c r="E251" s="42"/>
      <c r="F251" s="43"/>
      <c r="G251" s="43"/>
      <c r="H251" s="43"/>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c r="AY251" s="44"/>
      <c r="AZ251" s="44"/>
      <c r="BA251" s="44"/>
      <c r="BB251" s="44"/>
      <c r="BC251" s="44"/>
      <c r="BD251" s="44"/>
      <c r="BE251" s="44"/>
    </row>
    <row r="252">
      <c r="A252" s="42"/>
      <c r="B252" s="42"/>
      <c r="C252" s="43"/>
      <c r="D252" s="43"/>
      <c r="E252" s="42"/>
      <c r="F252" s="43"/>
      <c r="G252" s="43"/>
      <c r="H252" s="43"/>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44"/>
      <c r="BE252" s="44"/>
    </row>
    <row r="253">
      <c r="A253" s="42"/>
      <c r="B253" s="42"/>
      <c r="C253" s="43"/>
      <c r="D253" s="43"/>
      <c r="E253" s="42"/>
      <c r="F253" s="43"/>
      <c r="G253" s="43"/>
      <c r="H253" s="43"/>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row>
    <row r="254">
      <c r="A254" s="42"/>
      <c r="B254" s="42"/>
      <c r="C254" s="43"/>
      <c r="D254" s="43"/>
      <c r="E254" s="42"/>
      <c r="F254" s="43"/>
      <c r="G254" s="43"/>
      <c r="H254" s="43"/>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row>
    <row r="255">
      <c r="A255" s="42"/>
      <c r="B255" s="42"/>
      <c r="C255" s="43"/>
      <c r="D255" s="43"/>
      <c r="E255" s="42"/>
      <c r="F255" s="43"/>
      <c r="G255" s="43"/>
      <c r="H255" s="43"/>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row>
    <row r="256">
      <c r="A256" s="42"/>
      <c r="B256" s="42"/>
      <c r="C256" s="43"/>
      <c r="D256" s="43"/>
      <c r="E256" s="42"/>
      <c r="F256" s="43"/>
      <c r="G256" s="43"/>
      <c r="H256" s="43"/>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c r="AY256" s="44"/>
      <c r="AZ256" s="44"/>
      <c r="BA256" s="44"/>
      <c r="BB256" s="44"/>
      <c r="BC256" s="44"/>
      <c r="BD256" s="44"/>
      <c r="BE256" s="44"/>
    </row>
    <row r="257">
      <c r="A257" s="42"/>
      <c r="B257" s="42"/>
      <c r="C257" s="43"/>
      <c r="D257" s="43"/>
      <c r="E257" s="42"/>
      <c r="F257" s="43"/>
      <c r="G257" s="43"/>
      <c r="H257" s="43"/>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row>
    <row r="258">
      <c r="A258" s="42"/>
      <c r="B258" s="42"/>
      <c r="C258" s="43"/>
      <c r="D258" s="43"/>
      <c r="E258" s="42"/>
      <c r="F258" s="43"/>
      <c r="G258" s="43"/>
      <c r="H258" s="43"/>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row>
    <row r="259">
      <c r="A259" s="42"/>
      <c r="B259" s="42"/>
      <c r="C259" s="43"/>
      <c r="D259" s="43"/>
      <c r="E259" s="42"/>
      <c r="F259" s="43"/>
      <c r="G259" s="43"/>
      <c r="H259" s="43"/>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row>
    <row r="260">
      <c r="A260" s="42"/>
      <c r="B260" s="42"/>
      <c r="C260" s="43"/>
      <c r="D260" s="43"/>
      <c r="E260" s="42"/>
      <c r="F260" s="43"/>
      <c r="G260" s="43"/>
      <c r="H260" s="43"/>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row>
    <row r="261">
      <c r="A261" s="42"/>
      <c r="B261" s="42"/>
      <c r="C261" s="43"/>
      <c r="D261" s="43"/>
      <c r="E261" s="42"/>
      <c r="F261" s="43"/>
      <c r="G261" s="43"/>
      <c r="H261" s="43"/>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row>
    <row r="262">
      <c r="A262" s="42"/>
      <c r="B262" s="42"/>
      <c r="C262" s="43"/>
      <c r="D262" s="43"/>
      <c r="E262" s="42"/>
      <c r="F262" s="43"/>
      <c r="G262" s="43"/>
      <c r="H262" s="43"/>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row>
    <row r="263">
      <c r="A263" s="42"/>
      <c r="B263" s="42"/>
      <c r="C263" s="43"/>
      <c r="D263" s="43"/>
      <c r="E263" s="42"/>
      <c r="F263" s="43"/>
      <c r="G263" s="43"/>
      <c r="H263" s="43"/>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row>
    <row r="264">
      <c r="A264" s="42"/>
      <c r="B264" s="42"/>
      <c r="C264" s="43"/>
      <c r="D264" s="43"/>
      <c r="E264" s="42"/>
      <c r="F264" s="43"/>
      <c r="G264" s="43"/>
      <c r="H264" s="43"/>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row>
    <row r="265">
      <c r="A265" s="42"/>
      <c r="B265" s="42"/>
      <c r="C265" s="43"/>
      <c r="D265" s="43"/>
      <c r="E265" s="42"/>
      <c r="F265" s="43"/>
      <c r="G265" s="43"/>
      <c r="H265" s="43"/>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row>
    <row r="266">
      <c r="A266" s="42"/>
      <c r="B266" s="42"/>
      <c r="C266" s="43"/>
      <c r="D266" s="43"/>
      <c r="E266" s="42"/>
      <c r="F266" s="43"/>
      <c r="G266" s="43"/>
      <c r="H266" s="43"/>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row>
    <row r="267">
      <c r="A267" s="42"/>
      <c r="B267" s="42"/>
      <c r="C267" s="43"/>
      <c r="D267" s="43"/>
      <c r="E267" s="42"/>
      <c r="F267" s="43"/>
      <c r="G267" s="43"/>
      <c r="H267" s="43"/>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row>
    <row r="268">
      <c r="A268" s="42"/>
      <c r="B268" s="42"/>
      <c r="C268" s="43"/>
      <c r="D268" s="43"/>
      <c r="E268" s="42"/>
      <c r="F268" s="43"/>
      <c r="G268" s="43"/>
      <c r="H268" s="43"/>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row>
    <row r="269">
      <c r="A269" s="42"/>
      <c r="B269" s="42"/>
      <c r="C269" s="43"/>
      <c r="D269" s="43"/>
      <c r="E269" s="42"/>
      <c r="F269" s="43"/>
      <c r="G269" s="43"/>
      <c r="H269" s="43"/>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row>
    <row r="270">
      <c r="A270" s="42"/>
      <c r="B270" s="42"/>
      <c r="C270" s="43"/>
      <c r="D270" s="43"/>
      <c r="E270" s="42"/>
      <c r="F270" s="43"/>
      <c r="G270" s="43"/>
      <c r="H270" s="43"/>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row>
    <row r="271">
      <c r="A271" s="42"/>
      <c r="B271" s="42"/>
      <c r="C271" s="43"/>
      <c r="D271" s="43"/>
      <c r="E271" s="42"/>
      <c r="F271" s="43"/>
      <c r="G271" s="43"/>
      <c r="H271" s="43"/>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row>
    <row r="272">
      <c r="A272" s="42"/>
      <c r="B272" s="42"/>
      <c r="C272" s="43"/>
      <c r="D272" s="43"/>
      <c r="E272" s="42"/>
      <c r="F272" s="43"/>
      <c r="G272" s="43"/>
      <c r="H272" s="43"/>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row>
    <row r="273">
      <c r="A273" s="42"/>
      <c r="B273" s="42"/>
      <c r="C273" s="43"/>
      <c r="D273" s="43"/>
      <c r="E273" s="42"/>
      <c r="F273" s="43"/>
      <c r="G273" s="43"/>
      <c r="H273" s="43"/>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row>
    <row r="274">
      <c r="A274" s="42"/>
      <c r="B274" s="42"/>
      <c r="C274" s="43"/>
      <c r="D274" s="43"/>
      <c r="E274" s="42"/>
      <c r="F274" s="43"/>
      <c r="G274" s="43"/>
      <c r="H274" s="43"/>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row>
    <row r="275">
      <c r="A275" s="42"/>
      <c r="B275" s="42"/>
      <c r="C275" s="43"/>
      <c r="D275" s="43"/>
      <c r="E275" s="42"/>
      <c r="F275" s="43"/>
      <c r="G275" s="43"/>
      <c r="H275" s="43"/>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row>
    <row r="276">
      <c r="A276" s="42"/>
      <c r="B276" s="42"/>
      <c r="C276" s="43"/>
      <c r="D276" s="43"/>
      <c r="E276" s="42"/>
      <c r="F276" s="43"/>
      <c r="G276" s="43"/>
      <c r="H276" s="43"/>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row>
    <row r="277">
      <c r="A277" s="42"/>
      <c r="B277" s="42"/>
      <c r="C277" s="43"/>
      <c r="D277" s="43"/>
      <c r="E277" s="42"/>
      <c r="F277" s="43"/>
      <c r="G277" s="43"/>
      <c r="H277" s="43"/>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row>
    <row r="278">
      <c r="A278" s="42"/>
      <c r="B278" s="42"/>
      <c r="C278" s="43"/>
      <c r="D278" s="43"/>
      <c r="E278" s="42"/>
      <c r="F278" s="43"/>
      <c r="G278" s="43"/>
      <c r="H278" s="43"/>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c r="AY278" s="44"/>
      <c r="AZ278" s="44"/>
      <c r="BA278" s="44"/>
      <c r="BB278" s="44"/>
      <c r="BC278" s="44"/>
      <c r="BD278" s="44"/>
      <c r="BE278" s="44"/>
    </row>
    <row r="279">
      <c r="A279" s="42"/>
      <c r="B279" s="42"/>
      <c r="C279" s="43"/>
      <c r="D279" s="43"/>
      <c r="E279" s="42"/>
      <c r="F279" s="43"/>
      <c r="G279" s="43"/>
      <c r="H279" s="43"/>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row>
    <row r="280">
      <c r="A280" s="42"/>
      <c r="B280" s="42"/>
      <c r="C280" s="43"/>
      <c r="D280" s="43"/>
      <c r="E280" s="42"/>
      <c r="F280" s="43"/>
      <c r="G280" s="43"/>
      <c r="H280" s="43"/>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row>
    <row r="281">
      <c r="A281" s="42"/>
      <c r="B281" s="42"/>
      <c r="C281" s="43"/>
      <c r="D281" s="43"/>
      <c r="E281" s="42"/>
      <c r="F281" s="43"/>
      <c r="G281" s="43"/>
      <c r="H281" s="43"/>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row>
    <row r="282">
      <c r="A282" s="42"/>
      <c r="B282" s="42"/>
      <c r="C282" s="43"/>
      <c r="D282" s="43"/>
      <c r="E282" s="42"/>
      <c r="F282" s="43"/>
      <c r="G282" s="43"/>
      <c r="H282" s="43"/>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c r="AY282" s="44"/>
      <c r="AZ282" s="44"/>
      <c r="BA282" s="44"/>
      <c r="BB282" s="44"/>
      <c r="BC282" s="44"/>
      <c r="BD282" s="44"/>
      <c r="BE282" s="44"/>
    </row>
    <row r="283">
      <c r="A283" s="42"/>
      <c r="B283" s="42"/>
      <c r="C283" s="43"/>
      <c r="D283" s="43"/>
      <c r="E283" s="42"/>
      <c r="F283" s="43"/>
      <c r="G283" s="43"/>
      <c r="H283" s="43"/>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row>
    <row r="284">
      <c r="A284" s="42"/>
      <c r="B284" s="42"/>
      <c r="C284" s="43"/>
      <c r="D284" s="43"/>
      <c r="E284" s="42"/>
      <c r="F284" s="43"/>
      <c r="G284" s="43"/>
      <c r="H284" s="43"/>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row>
    <row r="285">
      <c r="A285" s="42"/>
      <c r="B285" s="42"/>
      <c r="C285" s="43"/>
      <c r="D285" s="43"/>
      <c r="E285" s="42"/>
      <c r="F285" s="43"/>
      <c r="G285" s="43"/>
      <c r="H285" s="43"/>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row>
    <row r="286">
      <c r="A286" s="42"/>
      <c r="B286" s="42"/>
      <c r="C286" s="43"/>
      <c r="D286" s="43"/>
      <c r="E286" s="42"/>
      <c r="F286" s="43"/>
      <c r="G286" s="43"/>
      <c r="H286" s="43"/>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row>
    <row r="287">
      <c r="A287" s="42"/>
      <c r="B287" s="42"/>
      <c r="C287" s="43"/>
      <c r="D287" s="43"/>
      <c r="E287" s="42"/>
      <c r="F287" s="43"/>
      <c r="G287" s="43"/>
      <c r="H287" s="43"/>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row>
    <row r="288">
      <c r="A288" s="42"/>
      <c r="B288" s="42"/>
      <c r="C288" s="43"/>
      <c r="D288" s="43"/>
      <c r="E288" s="42"/>
      <c r="F288" s="43"/>
      <c r="G288" s="43"/>
      <c r="H288" s="43"/>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row>
    <row r="289">
      <c r="A289" s="42"/>
      <c r="B289" s="42"/>
      <c r="C289" s="43"/>
      <c r="D289" s="43"/>
      <c r="E289" s="42"/>
      <c r="F289" s="43"/>
      <c r="G289" s="43"/>
      <c r="H289" s="43"/>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row>
    <row r="290">
      <c r="A290" s="42"/>
      <c r="B290" s="42"/>
      <c r="C290" s="43"/>
      <c r="D290" s="43"/>
      <c r="E290" s="42"/>
      <c r="F290" s="43"/>
      <c r="G290" s="43"/>
      <c r="H290" s="43"/>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row>
    <row r="291">
      <c r="A291" s="42"/>
      <c r="B291" s="42"/>
      <c r="C291" s="43"/>
      <c r="D291" s="43"/>
      <c r="E291" s="42"/>
      <c r="F291" s="43"/>
      <c r="G291" s="43"/>
      <c r="H291" s="43"/>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row>
    <row r="292">
      <c r="A292" s="42"/>
      <c r="B292" s="42"/>
      <c r="C292" s="43"/>
      <c r="D292" s="43"/>
      <c r="E292" s="42"/>
      <c r="F292" s="43"/>
      <c r="G292" s="43"/>
      <c r="H292" s="43"/>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row>
    <row r="293">
      <c r="A293" s="42"/>
      <c r="B293" s="42"/>
      <c r="C293" s="43"/>
      <c r="D293" s="43"/>
      <c r="E293" s="42"/>
      <c r="F293" s="43"/>
      <c r="G293" s="43"/>
      <c r="H293" s="43"/>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row>
    <row r="294">
      <c r="A294" s="42"/>
      <c r="B294" s="42"/>
      <c r="C294" s="43"/>
      <c r="D294" s="43"/>
      <c r="E294" s="42"/>
      <c r="F294" s="43"/>
      <c r="G294" s="43"/>
      <c r="H294" s="43"/>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row>
    <row r="295">
      <c r="A295" s="42"/>
      <c r="B295" s="42"/>
      <c r="C295" s="43"/>
      <c r="D295" s="43"/>
      <c r="E295" s="42"/>
      <c r="F295" s="43"/>
      <c r="G295" s="43"/>
      <c r="H295" s="43"/>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row>
    <row r="296">
      <c r="A296" s="42"/>
      <c r="B296" s="42"/>
      <c r="C296" s="43"/>
      <c r="D296" s="43"/>
      <c r="E296" s="42"/>
      <c r="F296" s="43"/>
      <c r="G296" s="43"/>
      <c r="H296" s="43"/>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row>
    <row r="297">
      <c r="A297" s="42"/>
      <c r="B297" s="42"/>
      <c r="C297" s="43"/>
      <c r="D297" s="43"/>
      <c r="E297" s="42"/>
      <c r="F297" s="43"/>
      <c r="G297" s="43"/>
      <c r="H297" s="43"/>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row>
    <row r="298">
      <c r="A298" s="42"/>
      <c r="B298" s="42"/>
      <c r="C298" s="43"/>
      <c r="D298" s="43"/>
      <c r="E298" s="42"/>
      <c r="F298" s="43"/>
      <c r="G298" s="43"/>
      <c r="H298" s="43"/>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row>
    <row r="299">
      <c r="A299" s="42"/>
      <c r="B299" s="42"/>
      <c r="C299" s="43"/>
      <c r="D299" s="43"/>
      <c r="E299" s="42"/>
      <c r="F299" s="43"/>
      <c r="G299" s="43"/>
      <c r="H299" s="43"/>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row>
    <row r="300">
      <c r="A300" s="42"/>
      <c r="B300" s="42"/>
      <c r="C300" s="43"/>
      <c r="D300" s="43"/>
      <c r="E300" s="42"/>
      <c r="F300" s="43"/>
      <c r="G300" s="43"/>
      <c r="H300" s="43"/>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row>
    <row r="301">
      <c r="A301" s="42"/>
      <c r="B301" s="42"/>
      <c r="C301" s="43"/>
      <c r="D301" s="43"/>
      <c r="E301" s="42"/>
      <c r="F301" s="43"/>
      <c r="G301" s="43"/>
      <c r="H301" s="43"/>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row>
    <row r="302">
      <c r="A302" s="42"/>
      <c r="B302" s="42"/>
      <c r="C302" s="43"/>
      <c r="D302" s="43"/>
      <c r="E302" s="42"/>
      <c r="F302" s="43"/>
      <c r="G302" s="43"/>
      <c r="H302" s="43"/>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row>
    <row r="303">
      <c r="A303" s="42"/>
      <c r="B303" s="42"/>
      <c r="C303" s="43"/>
      <c r="D303" s="43"/>
      <c r="E303" s="42"/>
      <c r="F303" s="43"/>
      <c r="G303" s="43"/>
      <c r="H303" s="43"/>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row>
    <row r="304">
      <c r="A304" s="42"/>
      <c r="B304" s="42"/>
      <c r="C304" s="43"/>
      <c r="D304" s="43"/>
      <c r="E304" s="42"/>
      <c r="F304" s="43"/>
      <c r="G304" s="43"/>
      <c r="H304" s="43"/>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row>
    <row r="305">
      <c r="A305" s="42"/>
      <c r="B305" s="42"/>
      <c r="C305" s="43"/>
      <c r="D305" s="43"/>
      <c r="E305" s="42"/>
      <c r="F305" s="43"/>
      <c r="G305" s="43"/>
      <c r="H305" s="43"/>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row>
    <row r="306">
      <c r="A306" s="42"/>
      <c r="B306" s="42"/>
      <c r="C306" s="43"/>
      <c r="D306" s="43"/>
      <c r="E306" s="42"/>
      <c r="F306" s="43"/>
      <c r="G306" s="43"/>
      <c r="H306" s="43"/>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row>
    <row r="307">
      <c r="A307" s="42"/>
      <c r="B307" s="42"/>
      <c r="C307" s="43"/>
      <c r="D307" s="43"/>
      <c r="E307" s="42"/>
      <c r="F307" s="43"/>
      <c r="G307" s="43"/>
      <c r="H307" s="43"/>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row>
    <row r="308">
      <c r="A308" s="42"/>
      <c r="B308" s="42"/>
      <c r="C308" s="43"/>
      <c r="D308" s="43"/>
      <c r="E308" s="42"/>
      <c r="F308" s="43"/>
      <c r="G308" s="43"/>
      <c r="H308" s="43"/>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row>
    <row r="309">
      <c r="A309" s="42"/>
      <c r="B309" s="42"/>
      <c r="C309" s="43"/>
      <c r="D309" s="43"/>
      <c r="E309" s="42"/>
      <c r="F309" s="43"/>
      <c r="G309" s="43"/>
      <c r="H309" s="43"/>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row>
    <row r="310">
      <c r="A310" s="42"/>
      <c r="B310" s="42"/>
      <c r="C310" s="43"/>
      <c r="D310" s="43"/>
      <c r="E310" s="42"/>
      <c r="F310" s="43"/>
      <c r="G310" s="43"/>
      <c r="H310" s="43"/>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row>
    <row r="311">
      <c r="A311" s="42"/>
      <c r="B311" s="42"/>
      <c r="C311" s="43"/>
      <c r="D311" s="43"/>
      <c r="E311" s="42"/>
      <c r="F311" s="43"/>
      <c r="G311" s="43"/>
      <c r="H311" s="43"/>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row>
    <row r="312">
      <c r="A312" s="42"/>
      <c r="B312" s="42"/>
      <c r="C312" s="43"/>
      <c r="D312" s="43"/>
      <c r="E312" s="42"/>
      <c r="F312" s="43"/>
      <c r="G312" s="43"/>
      <c r="H312" s="43"/>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row>
    <row r="313">
      <c r="A313" s="42"/>
      <c r="B313" s="42"/>
      <c r="C313" s="43"/>
      <c r="D313" s="43"/>
      <c r="E313" s="42"/>
      <c r="F313" s="43"/>
      <c r="G313" s="43"/>
      <c r="H313" s="43"/>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row>
    <row r="314">
      <c r="A314" s="42"/>
      <c r="B314" s="42"/>
      <c r="C314" s="43"/>
      <c r="D314" s="43"/>
      <c r="E314" s="42"/>
      <c r="F314" s="43"/>
      <c r="G314" s="43"/>
      <c r="H314" s="43"/>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row>
    <row r="315">
      <c r="A315" s="42"/>
      <c r="B315" s="42"/>
      <c r="C315" s="43"/>
      <c r="D315" s="43"/>
      <c r="E315" s="42"/>
      <c r="F315" s="43"/>
      <c r="G315" s="43"/>
      <c r="H315" s="43"/>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row>
    <row r="316">
      <c r="A316" s="42"/>
      <c r="B316" s="42"/>
      <c r="C316" s="43"/>
      <c r="D316" s="43"/>
      <c r="E316" s="42"/>
      <c r="F316" s="43"/>
      <c r="G316" s="43"/>
      <c r="H316" s="43"/>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row>
    <row r="317">
      <c r="A317" s="42"/>
      <c r="B317" s="42"/>
      <c r="C317" s="43"/>
      <c r="D317" s="43"/>
      <c r="E317" s="42"/>
      <c r="F317" s="43"/>
      <c r="G317" s="43"/>
      <c r="H317" s="43"/>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row>
    <row r="318">
      <c r="A318" s="42"/>
      <c r="B318" s="42"/>
      <c r="C318" s="43"/>
      <c r="D318" s="43"/>
      <c r="E318" s="42"/>
      <c r="F318" s="43"/>
      <c r="G318" s="43"/>
      <c r="H318" s="43"/>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row>
    <row r="319">
      <c r="A319" s="42"/>
      <c r="B319" s="42"/>
      <c r="C319" s="43"/>
      <c r="D319" s="43"/>
      <c r="E319" s="42"/>
      <c r="F319" s="43"/>
      <c r="G319" s="43"/>
      <c r="H319" s="43"/>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c r="AY319" s="44"/>
      <c r="AZ319" s="44"/>
      <c r="BA319" s="44"/>
      <c r="BB319" s="44"/>
      <c r="BC319" s="44"/>
      <c r="BD319" s="44"/>
      <c r="BE319" s="44"/>
    </row>
    <row r="320">
      <c r="A320" s="42"/>
      <c r="B320" s="42"/>
      <c r="C320" s="43"/>
      <c r="D320" s="43"/>
      <c r="E320" s="42"/>
      <c r="F320" s="43"/>
      <c r="G320" s="43"/>
      <c r="H320" s="43"/>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c r="AY320" s="44"/>
      <c r="AZ320" s="44"/>
      <c r="BA320" s="44"/>
      <c r="BB320" s="44"/>
      <c r="BC320" s="44"/>
      <c r="BD320" s="44"/>
      <c r="BE320" s="44"/>
    </row>
    <row r="321">
      <c r="A321" s="42"/>
      <c r="B321" s="42"/>
      <c r="C321" s="43"/>
      <c r="D321" s="43"/>
      <c r="E321" s="42"/>
      <c r="F321" s="43"/>
      <c r="G321" s="43"/>
      <c r="H321" s="43"/>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row>
    <row r="322">
      <c r="A322" s="42"/>
      <c r="B322" s="42"/>
      <c r="C322" s="43"/>
      <c r="D322" s="43"/>
      <c r="E322" s="42"/>
      <c r="F322" s="43"/>
      <c r="G322" s="43"/>
      <c r="H322" s="43"/>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row>
    <row r="323">
      <c r="A323" s="42"/>
      <c r="B323" s="42"/>
      <c r="C323" s="43"/>
      <c r="D323" s="43"/>
      <c r="E323" s="42"/>
      <c r="F323" s="43"/>
      <c r="G323" s="43"/>
      <c r="H323" s="43"/>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c r="AY323" s="44"/>
      <c r="AZ323" s="44"/>
      <c r="BA323" s="44"/>
      <c r="BB323" s="44"/>
      <c r="BC323" s="44"/>
      <c r="BD323" s="44"/>
      <c r="BE323" s="44"/>
    </row>
    <row r="324">
      <c r="A324" s="42"/>
      <c r="B324" s="42"/>
      <c r="C324" s="43"/>
      <c r="D324" s="43"/>
      <c r="E324" s="42"/>
      <c r="F324" s="43"/>
      <c r="G324" s="43"/>
      <c r="H324" s="43"/>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row>
    <row r="325">
      <c r="A325" s="42"/>
      <c r="B325" s="42"/>
      <c r="C325" s="43"/>
      <c r="D325" s="43"/>
      <c r="E325" s="42"/>
      <c r="F325" s="43"/>
      <c r="G325" s="43"/>
      <c r="H325" s="43"/>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c r="AY325" s="44"/>
      <c r="AZ325" s="44"/>
      <c r="BA325" s="44"/>
      <c r="BB325" s="44"/>
      <c r="BC325" s="44"/>
      <c r="BD325" s="44"/>
      <c r="BE325" s="44"/>
    </row>
    <row r="326">
      <c r="A326" s="42"/>
      <c r="B326" s="42"/>
      <c r="C326" s="43"/>
      <c r="D326" s="43"/>
      <c r="E326" s="42"/>
      <c r="F326" s="43"/>
      <c r="G326" s="43"/>
      <c r="H326" s="43"/>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c r="AY326" s="44"/>
      <c r="AZ326" s="44"/>
      <c r="BA326" s="44"/>
      <c r="BB326" s="44"/>
      <c r="BC326" s="44"/>
      <c r="BD326" s="44"/>
      <c r="BE326" s="44"/>
    </row>
    <row r="327">
      <c r="A327" s="42"/>
      <c r="B327" s="42"/>
      <c r="C327" s="43"/>
      <c r="D327" s="43"/>
      <c r="E327" s="42"/>
      <c r="F327" s="43"/>
      <c r="G327" s="43"/>
      <c r="H327" s="43"/>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c r="AY327" s="44"/>
      <c r="AZ327" s="44"/>
      <c r="BA327" s="44"/>
      <c r="BB327" s="44"/>
      <c r="BC327" s="44"/>
      <c r="BD327" s="44"/>
      <c r="BE327" s="44"/>
    </row>
    <row r="328">
      <c r="A328" s="42"/>
      <c r="B328" s="42"/>
      <c r="C328" s="43"/>
      <c r="D328" s="43"/>
      <c r="E328" s="42"/>
      <c r="F328" s="43"/>
      <c r="G328" s="43"/>
      <c r="H328" s="43"/>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row>
    <row r="329">
      <c r="A329" s="42"/>
      <c r="B329" s="42"/>
      <c r="C329" s="43"/>
      <c r="D329" s="43"/>
      <c r="E329" s="42"/>
      <c r="F329" s="43"/>
      <c r="G329" s="43"/>
      <c r="H329" s="43"/>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row>
    <row r="330">
      <c r="A330" s="42"/>
      <c r="B330" s="42"/>
      <c r="C330" s="43"/>
      <c r="D330" s="43"/>
      <c r="E330" s="42"/>
      <c r="F330" s="43"/>
      <c r="G330" s="43"/>
      <c r="H330" s="43"/>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row>
    <row r="331">
      <c r="A331" s="42"/>
      <c r="B331" s="42"/>
      <c r="C331" s="43"/>
      <c r="D331" s="43"/>
      <c r="E331" s="42"/>
      <c r="F331" s="43"/>
      <c r="G331" s="43"/>
      <c r="H331" s="43"/>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row>
    <row r="332">
      <c r="A332" s="42"/>
      <c r="B332" s="42"/>
      <c r="C332" s="43"/>
      <c r="D332" s="43"/>
      <c r="E332" s="42"/>
      <c r="F332" s="43"/>
      <c r="G332" s="43"/>
      <c r="H332" s="43"/>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row>
    <row r="333">
      <c r="A333" s="42"/>
      <c r="B333" s="42"/>
      <c r="C333" s="43"/>
      <c r="D333" s="43"/>
      <c r="E333" s="42"/>
      <c r="F333" s="43"/>
      <c r="G333" s="43"/>
      <c r="H333" s="43"/>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row>
    <row r="334">
      <c r="A334" s="42"/>
      <c r="B334" s="42"/>
      <c r="C334" s="43"/>
      <c r="D334" s="43"/>
      <c r="E334" s="42"/>
      <c r="F334" s="43"/>
      <c r="G334" s="43"/>
      <c r="H334" s="43"/>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row>
    <row r="335">
      <c r="A335" s="42"/>
      <c r="B335" s="42"/>
      <c r="C335" s="43"/>
      <c r="D335" s="43"/>
      <c r="E335" s="42"/>
      <c r="F335" s="43"/>
      <c r="G335" s="43"/>
      <c r="H335" s="43"/>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row>
    <row r="336">
      <c r="A336" s="42"/>
      <c r="B336" s="42"/>
      <c r="C336" s="43"/>
      <c r="D336" s="43"/>
      <c r="E336" s="42"/>
      <c r="F336" s="43"/>
      <c r="G336" s="43"/>
      <c r="H336" s="43"/>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row>
    <row r="337">
      <c r="A337" s="42"/>
      <c r="B337" s="42"/>
      <c r="C337" s="43"/>
      <c r="D337" s="43"/>
      <c r="E337" s="42"/>
      <c r="F337" s="43"/>
      <c r="G337" s="43"/>
      <c r="H337" s="43"/>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row>
    <row r="338">
      <c r="A338" s="42"/>
      <c r="B338" s="42"/>
      <c r="C338" s="43"/>
      <c r="D338" s="43"/>
      <c r="E338" s="42"/>
      <c r="F338" s="43"/>
      <c r="G338" s="43"/>
      <c r="H338" s="43"/>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row>
    <row r="339">
      <c r="A339" s="42"/>
      <c r="B339" s="42"/>
      <c r="C339" s="43"/>
      <c r="D339" s="43"/>
      <c r="E339" s="42"/>
      <c r="F339" s="43"/>
      <c r="G339" s="43"/>
      <c r="H339" s="43"/>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row>
    <row r="340">
      <c r="A340" s="42"/>
      <c r="B340" s="42"/>
      <c r="C340" s="43"/>
      <c r="D340" s="43"/>
      <c r="E340" s="42"/>
      <c r="F340" s="43"/>
      <c r="G340" s="43"/>
      <c r="H340" s="43"/>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row>
    <row r="341">
      <c r="A341" s="42"/>
      <c r="B341" s="42"/>
      <c r="C341" s="43"/>
      <c r="D341" s="43"/>
      <c r="E341" s="42"/>
      <c r="F341" s="43"/>
      <c r="G341" s="43"/>
      <c r="H341" s="43"/>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row>
    <row r="342">
      <c r="A342" s="42"/>
      <c r="B342" s="42"/>
      <c r="C342" s="43"/>
      <c r="D342" s="43"/>
      <c r="E342" s="42"/>
      <c r="F342" s="43"/>
      <c r="G342" s="43"/>
      <c r="H342" s="43"/>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row>
    <row r="343">
      <c r="A343" s="42"/>
      <c r="B343" s="42"/>
      <c r="C343" s="43"/>
      <c r="D343" s="43"/>
      <c r="E343" s="42"/>
      <c r="F343" s="43"/>
      <c r="G343" s="43"/>
      <c r="H343" s="43"/>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row>
    <row r="344">
      <c r="A344" s="42"/>
      <c r="B344" s="42"/>
      <c r="C344" s="43"/>
      <c r="D344" s="43"/>
      <c r="E344" s="42"/>
      <c r="F344" s="43"/>
      <c r="G344" s="43"/>
      <c r="H344" s="43"/>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row>
    <row r="345">
      <c r="A345" s="42"/>
      <c r="B345" s="42"/>
      <c r="C345" s="43"/>
      <c r="D345" s="43"/>
      <c r="E345" s="42"/>
      <c r="F345" s="43"/>
      <c r="G345" s="43"/>
      <c r="H345" s="43"/>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row>
    <row r="346">
      <c r="A346" s="42"/>
      <c r="B346" s="42"/>
      <c r="C346" s="43"/>
      <c r="D346" s="43"/>
      <c r="E346" s="42"/>
      <c r="F346" s="43"/>
      <c r="G346" s="43"/>
      <c r="H346" s="43"/>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row>
    <row r="347">
      <c r="A347" s="42"/>
      <c r="B347" s="42"/>
      <c r="C347" s="43"/>
      <c r="D347" s="43"/>
      <c r="E347" s="42"/>
      <c r="F347" s="43"/>
      <c r="G347" s="43"/>
      <c r="H347" s="43"/>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row>
    <row r="348">
      <c r="A348" s="42"/>
      <c r="B348" s="42"/>
      <c r="C348" s="43"/>
      <c r="D348" s="43"/>
      <c r="E348" s="42"/>
      <c r="F348" s="43"/>
      <c r="G348" s="43"/>
      <c r="H348" s="43"/>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c r="AY348" s="44"/>
      <c r="AZ348" s="44"/>
      <c r="BA348" s="44"/>
      <c r="BB348" s="44"/>
      <c r="BC348" s="44"/>
      <c r="BD348" s="44"/>
      <c r="BE348" s="44"/>
    </row>
    <row r="349">
      <c r="A349" s="42"/>
      <c r="B349" s="42"/>
      <c r="C349" s="43"/>
      <c r="D349" s="43"/>
      <c r="E349" s="42"/>
      <c r="F349" s="43"/>
      <c r="G349" s="43"/>
      <c r="H349" s="43"/>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row>
    <row r="350">
      <c r="A350" s="42"/>
      <c r="B350" s="42"/>
      <c r="C350" s="43"/>
      <c r="D350" s="43"/>
      <c r="E350" s="42"/>
      <c r="F350" s="43"/>
      <c r="G350" s="43"/>
      <c r="H350" s="43"/>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row>
    <row r="351">
      <c r="A351" s="42"/>
      <c r="B351" s="42"/>
      <c r="C351" s="43"/>
      <c r="D351" s="43"/>
      <c r="E351" s="42"/>
      <c r="F351" s="43"/>
      <c r="G351" s="43"/>
      <c r="H351" s="43"/>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row>
    <row r="352">
      <c r="A352" s="42"/>
      <c r="B352" s="42"/>
      <c r="C352" s="43"/>
      <c r="D352" s="43"/>
      <c r="E352" s="42"/>
      <c r="F352" s="43"/>
      <c r="G352" s="43"/>
      <c r="H352" s="43"/>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row>
    <row r="353">
      <c r="A353" s="42"/>
      <c r="B353" s="42"/>
      <c r="C353" s="43"/>
      <c r="D353" s="43"/>
      <c r="E353" s="42"/>
      <c r="F353" s="43"/>
      <c r="G353" s="43"/>
      <c r="H353" s="43"/>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row>
    <row r="354">
      <c r="A354" s="42"/>
      <c r="B354" s="42"/>
      <c r="C354" s="43"/>
      <c r="D354" s="43"/>
      <c r="E354" s="42"/>
      <c r="F354" s="43"/>
      <c r="G354" s="43"/>
      <c r="H354" s="43"/>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c r="AY354" s="44"/>
      <c r="AZ354" s="44"/>
      <c r="BA354" s="44"/>
      <c r="BB354" s="44"/>
      <c r="BC354" s="44"/>
      <c r="BD354" s="44"/>
      <c r="BE354" s="44"/>
    </row>
    <row r="355">
      <c r="A355" s="42"/>
      <c r="B355" s="42"/>
      <c r="C355" s="43"/>
      <c r="D355" s="43"/>
      <c r="E355" s="42"/>
      <c r="F355" s="43"/>
      <c r="G355" s="43"/>
      <c r="H355" s="43"/>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row>
    <row r="356">
      <c r="A356" s="42"/>
      <c r="B356" s="42"/>
      <c r="C356" s="43"/>
      <c r="D356" s="43"/>
      <c r="E356" s="42"/>
      <c r="F356" s="43"/>
      <c r="G356" s="43"/>
      <c r="H356" s="43"/>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c r="AY356" s="44"/>
      <c r="AZ356" s="44"/>
      <c r="BA356" s="44"/>
      <c r="BB356" s="44"/>
      <c r="BC356" s="44"/>
      <c r="BD356" s="44"/>
      <c r="BE356" s="44"/>
    </row>
    <row r="357">
      <c r="A357" s="42"/>
      <c r="B357" s="42"/>
      <c r="C357" s="43"/>
      <c r="D357" s="43"/>
      <c r="E357" s="42"/>
      <c r="F357" s="43"/>
      <c r="G357" s="43"/>
      <c r="H357" s="43"/>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row>
    <row r="358">
      <c r="A358" s="42"/>
      <c r="B358" s="42"/>
      <c r="C358" s="43"/>
      <c r="D358" s="43"/>
      <c r="E358" s="42"/>
      <c r="F358" s="43"/>
      <c r="G358" s="43"/>
      <c r="H358" s="43"/>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row>
    <row r="359">
      <c r="A359" s="42"/>
      <c r="B359" s="42"/>
      <c r="C359" s="43"/>
      <c r="D359" s="43"/>
      <c r="E359" s="42"/>
      <c r="F359" s="43"/>
      <c r="G359" s="43"/>
      <c r="H359" s="43"/>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row>
    <row r="360">
      <c r="A360" s="42"/>
      <c r="B360" s="42"/>
      <c r="C360" s="43"/>
      <c r="D360" s="43"/>
      <c r="E360" s="42"/>
      <c r="F360" s="43"/>
      <c r="G360" s="43"/>
      <c r="H360" s="43"/>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c r="AY360" s="44"/>
      <c r="AZ360" s="44"/>
      <c r="BA360" s="44"/>
      <c r="BB360" s="44"/>
      <c r="BC360" s="44"/>
      <c r="BD360" s="44"/>
      <c r="BE360" s="44"/>
    </row>
    <row r="361">
      <c r="A361" s="42"/>
      <c r="B361" s="42"/>
      <c r="C361" s="43"/>
      <c r="D361" s="43"/>
      <c r="E361" s="42"/>
      <c r="F361" s="43"/>
      <c r="G361" s="43"/>
      <c r="H361" s="43"/>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row>
    <row r="362">
      <c r="A362" s="42"/>
      <c r="B362" s="42"/>
      <c r="C362" s="43"/>
      <c r="D362" s="43"/>
      <c r="E362" s="42"/>
      <c r="F362" s="43"/>
      <c r="G362" s="43"/>
      <c r="H362" s="43"/>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row>
    <row r="363">
      <c r="A363" s="42"/>
      <c r="B363" s="42"/>
      <c r="C363" s="43"/>
      <c r="D363" s="43"/>
      <c r="E363" s="42"/>
      <c r="F363" s="43"/>
      <c r="G363" s="43"/>
      <c r="H363" s="43"/>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row>
    <row r="364">
      <c r="A364" s="42"/>
      <c r="B364" s="42"/>
      <c r="C364" s="43"/>
      <c r="D364" s="43"/>
      <c r="E364" s="42"/>
      <c r="F364" s="43"/>
      <c r="G364" s="43"/>
      <c r="H364" s="43"/>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row>
    <row r="365">
      <c r="A365" s="42"/>
      <c r="B365" s="42"/>
      <c r="C365" s="43"/>
      <c r="D365" s="43"/>
      <c r="E365" s="42"/>
      <c r="F365" s="43"/>
      <c r="G365" s="43"/>
      <c r="H365" s="43"/>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row>
    <row r="366">
      <c r="A366" s="42"/>
      <c r="B366" s="42"/>
      <c r="C366" s="43"/>
      <c r="D366" s="43"/>
      <c r="E366" s="42"/>
      <c r="F366" s="43"/>
      <c r="G366" s="43"/>
      <c r="H366" s="43"/>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row>
    <row r="367">
      <c r="A367" s="42"/>
      <c r="B367" s="42"/>
      <c r="C367" s="43"/>
      <c r="D367" s="43"/>
      <c r="E367" s="42"/>
      <c r="F367" s="43"/>
      <c r="G367" s="43"/>
      <c r="H367" s="43"/>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row>
    <row r="368">
      <c r="A368" s="42"/>
      <c r="B368" s="42"/>
      <c r="C368" s="43"/>
      <c r="D368" s="43"/>
      <c r="E368" s="42"/>
      <c r="F368" s="43"/>
      <c r="G368" s="43"/>
      <c r="H368" s="43"/>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row>
    <row r="369">
      <c r="A369" s="42"/>
      <c r="B369" s="42"/>
      <c r="C369" s="43"/>
      <c r="D369" s="43"/>
      <c r="E369" s="42"/>
      <c r="F369" s="43"/>
      <c r="G369" s="43"/>
      <c r="H369" s="43"/>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row>
    <row r="370">
      <c r="A370" s="42"/>
      <c r="B370" s="42"/>
      <c r="C370" s="43"/>
      <c r="D370" s="43"/>
      <c r="E370" s="42"/>
      <c r="F370" s="43"/>
      <c r="G370" s="43"/>
      <c r="H370" s="43"/>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row>
    <row r="371">
      <c r="A371" s="42"/>
      <c r="B371" s="42"/>
      <c r="C371" s="43"/>
      <c r="D371" s="43"/>
      <c r="E371" s="42"/>
      <c r="F371" s="43"/>
      <c r="G371" s="43"/>
      <c r="H371" s="43"/>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c r="AY371" s="44"/>
      <c r="AZ371" s="44"/>
      <c r="BA371" s="44"/>
      <c r="BB371" s="44"/>
      <c r="BC371" s="44"/>
      <c r="BD371" s="44"/>
      <c r="BE371" s="44"/>
    </row>
    <row r="372">
      <c r="A372" s="42"/>
      <c r="B372" s="42"/>
      <c r="C372" s="43"/>
      <c r="D372" s="43"/>
      <c r="E372" s="42"/>
      <c r="F372" s="43"/>
      <c r="G372" s="43"/>
      <c r="H372" s="43"/>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row>
    <row r="373">
      <c r="A373" s="42"/>
      <c r="B373" s="42"/>
      <c r="C373" s="43"/>
      <c r="D373" s="43"/>
      <c r="E373" s="42"/>
      <c r="F373" s="43"/>
      <c r="G373" s="43"/>
      <c r="H373" s="43"/>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row>
    <row r="374">
      <c r="A374" s="42"/>
      <c r="B374" s="42"/>
      <c r="C374" s="43"/>
      <c r="D374" s="43"/>
      <c r="E374" s="42"/>
      <c r="F374" s="43"/>
      <c r="G374" s="43"/>
      <c r="H374" s="43"/>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row>
    <row r="375">
      <c r="A375" s="42"/>
      <c r="B375" s="42"/>
      <c r="C375" s="43"/>
      <c r="D375" s="43"/>
      <c r="E375" s="42"/>
      <c r="F375" s="43"/>
      <c r="G375" s="43"/>
      <c r="H375" s="43"/>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row>
    <row r="376">
      <c r="A376" s="42"/>
      <c r="B376" s="42"/>
      <c r="C376" s="43"/>
      <c r="D376" s="43"/>
      <c r="E376" s="42"/>
      <c r="F376" s="43"/>
      <c r="G376" s="43"/>
      <c r="H376" s="43"/>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row>
    <row r="377">
      <c r="A377" s="42"/>
      <c r="B377" s="42"/>
      <c r="C377" s="43"/>
      <c r="D377" s="43"/>
      <c r="E377" s="42"/>
      <c r="F377" s="43"/>
      <c r="G377" s="43"/>
      <c r="H377" s="43"/>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row>
    <row r="378">
      <c r="A378" s="42"/>
      <c r="B378" s="42"/>
      <c r="C378" s="43"/>
      <c r="D378" s="43"/>
      <c r="E378" s="42"/>
      <c r="F378" s="43"/>
      <c r="G378" s="43"/>
      <c r="H378" s="43"/>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row>
    <row r="379">
      <c r="A379" s="42"/>
      <c r="B379" s="42"/>
      <c r="C379" s="43"/>
      <c r="D379" s="43"/>
      <c r="E379" s="42"/>
      <c r="F379" s="43"/>
      <c r="G379" s="43"/>
      <c r="H379" s="43"/>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row>
    <row r="380">
      <c r="A380" s="42"/>
      <c r="B380" s="42"/>
      <c r="C380" s="43"/>
      <c r="D380" s="43"/>
      <c r="E380" s="42"/>
      <c r="F380" s="43"/>
      <c r="G380" s="43"/>
      <c r="H380" s="43"/>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row>
    <row r="381">
      <c r="A381" s="42"/>
      <c r="B381" s="42"/>
      <c r="C381" s="43"/>
      <c r="D381" s="43"/>
      <c r="E381" s="42"/>
      <c r="F381" s="43"/>
      <c r="G381" s="43"/>
      <c r="H381" s="43"/>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row>
    <row r="382">
      <c r="A382" s="42"/>
      <c r="B382" s="42"/>
      <c r="C382" s="43"/>
      <c r="D382" s="43"/>
      <c r="E382" s="42"/>
      <c r="F382" s="43"/>
      <c r="G382" s="43"/>
      <c r="H382" s="43"/>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c r="AY382" s="44"/>
      <c r="AZ382" s="44"/>
      <c r="BA382" s="44"/>
      <c r="BB382" s="44"/>
      <c r="BC382" s="44"/>
      <c r="BD382" s="44"/>
      <c r="BE382" s="44"/>
    </row>
    <row r="383">
      <c r="A383" s="42"/>
      <c r="B383" s="42"/>
      <c r="C383" s="43"/>
      <c r="D383" s="43"/>
      <c r="E383" s="42"/>
      <c r="F383" s="43"/>
      <c r="G383" s="43"/>
      <c r="H383" s="43"/>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c r="AY383" s="44"/>
      <c r="AZ383" s="44"/>
      <c r="BA383" s="44"/>
      <c r="BB383" s="44"/>
      <c r="BC383" s="44"/>
      <c r="BD383" s="44"/>
      <c r="BE383" s="44"/>
    </row>
    <row r="384">
      <c r="A384" s="42"/>
      <c r="B384" s="42"/>
      <c r="C384" s="43"/>
      <c r="D384" s="43"/>
      <c r="E384" s="42"/>
      <c r="F384" s="43"/>
      <c r="G384" s="43"/>
      <c r="H384" s="43"/>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c r="AY384" s="44"/>
      <c r="AZ384" s="44"/>
      <c r="BA384" s="44"/>
      <c r="BB384" s="44"/>
      <c r="BC384" s="44"/>
      <c r="BD384" s="44"/>
      <c r="BE384" s="44"/>
    </row>
    <row r="385">
      <c r="A385" s="42"/>
      <c r="B385" s="42"/>
      <c r="C385" s="43"/>
      <c r="D385" s="43"/>
      <c r="E385" s="42"/>
      <c r="F385" s="43"/>
      <c r="G385" s="43"/>
      <c r="H385" s="43"/>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row>
    <row r="386">
      <c r="A386" s="42"/>
      <c r="B386" s="42"/>
      <c r="C386" s="43"/>
      <c r="D386" s="43"/>
      <c r="E386" s="42"/>
      <c r="F386" s="43"/>
      <c r="G386" s="43"/>
      <c r="H386" s="43"/>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row>
    <row r="387">
      <c r="A387" s="42"/>
      <c r="B387" s="42"/>
      <c r="C387" s="43"/>
      <c r="D387" s="43"/>
      <c r="E387" s="42"/>
      <c r="F387" s="43"/>
      <c r="G387" s="43"/>
      <c r="H387" s="43"/>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row>
    <row r="388">
      <c r="A388" s="42"/>
      <c r="B388" s="42"/>
      <c r="C388" s="43"/>
      <c r="D388" s="43"/>
      <c r="E388" s="42"/>
      <c r="F388" s="43"/>
      <c r="G388" s="43"/>
      <c r="H388" s="43"/>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c r="AY388" s="44"/>
      <c r="AZ388" s="44"/>
      <c r="BA388" s="44"/>
      <c r="BB388" s="44"/>
      <c r="BC388" s="44"/>
      <c r="BD388" s="44"/>
      <c r="BE388" s="44"/>
    </row>
    <row r="389">
      <c r="A389" s="42"/>
      <c r="B389" s="42"/>
      <c r="C389" s="43"/>
      <c r="D389" s="43"/>
      <c r="E389" s="42"/>
      <c r="F389" s="43"/>
      <c r="G389" s="43"/>
      <c r="H389" s="43"/>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row>
    <row r="390">
      <c r="A390" s="42"/>
      <c r="B390" s="42"/>
      <c r="C390" s="43"/>
      <c r="D390" s="43"/>
      <c r="E390" s="42"/>
      <c r="F390" s="43"/>
      <c r="G390" s="43"/>
      <c r="H390" s="43"/>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row>
    <row r="391">
      <c r="A391" s="42"/>
      <c r="B391" s="42"/>
      <c r="C391" s="43"/>
      <c r="D391" s="43"/>
      <c r="E391" s="42"/>
      <c r="F391" s="43"/>
      <c r="G391" s="43"/>
      <c r="H391" s="43"/>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row>
    <row r="392">
      <c r="A392" s="42"/>
      <c r="B392" s="42"/>
      <c r="C392" s="43"/>
      <c r="D392" s="43"/>
      <c r="E392" s="42"/>
      <c r="F392" s="43"/>
      <c r="G392" s="43"/>
      <c r="H392" s="43"/>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row>
    <row r="393">
      <c r="A393" s="42"/>
      <c r="B393" s="42"/>
      <c r="C393" s="43"/>
      <c r="D393" s="43"/>
      <c r="E393" s="42"/>
      <c r="F393" s="43"/>
      <c r="G393" s="43"/>
      <c r="H393" s="43"/>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row>
    <row r="394">
      <c r="A394" s="42"/>
      <c r="B394" s="42"/>
      <c r="C394" s="43"/>
      <c r="D394" s="43"/>
      <c r="E394" s="42"/>
      <c r="F394" s="43"/>
      <c r="G394" s="43"/>
      <c r="H394" s="43"/>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c r="AY394" s="44"/>
      <c r="AZ394" s="44"/>
      <c r="BA394" s="44"/>
      <c r="BB394" s="44"/>
      <c r="BC394" s="44"/>
      <c r="BD394" s="44"/>
      <c r="BE394" s="44"/>
    </row>
    <row r="395">
      <c r="A395" s="42"/>
      <c r="B395" s="42"/>
      <c r="C395" s="43"/>
      <c r="D395" s="43"/>
      <c r="E395" s="42"/>
      <c r="F395" s="43"/>
      <c r="G395" s="43"/>
      <c r="H395" s="43"/>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row>
    <row r="396">
      <c r="A396" s="42"/>
      <c r="B396" s="42"/>
      <c r="C396" s="43"/>
      <c r="D396" s="43"/>
      <c r="E396" s="42"/>
      <c r="F396" s="43"/>
      <c r="G396" s="43"/>
      <c r="H396" s="43"/>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row>
    <row r="397">
      <c r="A397" s="42"/>
      <c r="B397" s="42"/>
      <c r="C397" s="43"/>
      <c r="D397" s="43"/>
      <c r="E397" s="42"/>
      <c r="F397" s="43"/>
      <c r="G397" s="43"/>
      <c r="H397" s="43"/>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row>
    <row r="398">
      <c r="A398" s="42"/>
      <c r="B398" s="42"/>
      <c r="C398" s="43"/>
      <c r="D398" s="43"/>
      <c r="E398" s="42"/>
      <c r="F398" s="43"/>
      <c r="G398" s="43"/>
      <c r="H398" s="43"/>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c r="AY398" s="44"/>
      <c r="AZ398" s="44"/>
      <c r="BA398" s="44"/>
      <c r="BB398" s="44"/>
      <c r="BC398" s="44"/>
      <c r="BD398" s="44"/>
      <c r="BE398" s="44"/>
    </row>
    <row r="399">
      <c r="A399" s="42"/>
      <c r="B399" s="42"/>
      <c r="C399" s="43"/>
      <c r="D399" s="43"/>
      <c r="E399" s="42"/>
      <c r="F399" s="43"/>
      <c r="G399" s="43"/>
      <c r="H399" s="43"/>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row>
    <row r="400">
      <c r="A400" s="42"/>
      <c r="B400" s="42"/>
      <c r="C400" s="43"/>
      <c r="D400" s="43"/>
      <c r="E400" s="42"/>
      <c r="F400" s="43"/>
      <c r="G400" s="43"/>
      <c r="H400" s="43"/>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row>
    <row r="401">
      <c r="A401" s="42"/>
      <c r="B401" s="42"/>
      <c r="C401" s="43"/>
      <c r="D401" s="43"/>
      <c r="E401" s="42"/>
      <c r="F401" s="43"/>
      <c r="G401" s="43"/>
      <c r="H401" s="43"/>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row>
    <row r="402">
      <c r="A402" s="42"/>
      <c r="B402" s="42"/>
      <c r="C402" s="43"/>
      <c r="D402" s="43"/>
      <c r="E402" s="42"/>
      <c r="F402" s="43"/>
      <c r="G402" s="43"/>
      <c r="H402" s="43"/>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row>
    <row r="403">
      <c r="A403" s="42"/>
      <c r="B403" s="42"/>
      <c r="C403" s="43"/>
      <c r="D403" s="43"/>
      <c r="E403" s="42"/>
      <c r="F403" s="43"/>
      <c r="G403" s="43"/>
      <c r="H403" s="43"/>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row>
    <row r="404">
      <c r="A404" s="42"/>
      <c r="B404" s="42"/>
      <c r="C404" s="43"/>
      <c r="D404" s="43"/>
      <c r="E404" s="42"/>
      <c r="F404" s="43"/>
      <c r="G404" s="43"/>
      <c r="H404" s="43"/>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row>
    <row r="405">
      <c r="A405" s="42"/>
      <c r="B405" s="42"/>
      <c r="C405" s="43"/>
      <c r="D405" s="43"/>
      <c r="E405" s="42"/>
      <c r="F405" s="43"/>
      <c r="G405" s="43"/>
      <c r="H405" s="43"/>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c r="AY405" s="44"/>
      <c r="AZ405" s="44"/>
      <c r="BA405" s="44"/>
      <c r="BB405" s="44"/>
      <c r="BC405" s="44"/>
      <c r="BD405" s="44"/>
      <c r="BE405" s="44"/>
    </row>
    <row r="406">
      <c r="A406" s="42"/>
      <c r="B406" s="42"/>
      <c r="C406" s="43"/>
      <c r="D406" s="43"/>
      <c r="E406" s="42"/>
      <c r="F406" s="43"/>
      <c r="G406" s="43"/>
      <c r="H406" s="43"/>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row>
    <row r="407">
      <c r="A407" s="42"/>
      <c r="B407" s="42"/>
      <c r="C407" s="43"/>
      <c r="D407" s="43"/>
      <c r="E407" s="42"/>
      <c r="F407" s="43"/>
      <c r="G407" s="43"/>
      <c r="H407" s="43"/>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row>
    <row r="408">
      <c r="A408" s="42"/>
      <c r="B408" s="42"/>
      <c r="C408" s="43"/>
      <c r="D408" s="43"/>
      <c r="E408" s="42"/>
      <c r="F408" s="43"/>
      <c r="G408" s="43"/>
      <c r="H408" s="43"/>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row>
    <row r="409">
      <c r="A409" s="42"/>
      <c r="B409" s="42"/>
      <c r="C409" s="43"/>
      <c r="D409" s="43"/>
      <c r="E409" s="42"/>
      <c r="F409" s="43"/>
      <c r="G409" s="43"/>
      <c r="H409" s="43"/>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row>
    <row r="410">
      <c r="A410" s="42"/>
      <c r="B410" s="42"/>
      <c r="C410" s="43"/>
      <c r="D410" s="43"/>
      <c r="E410" s="42"/>
      <c r="F410" s="43"/>
      <c r="G410" s="43"/>
      <c r="H410" s="43"/>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row>
    <row r="411">
      <c r="A411" s="42"/>
      <c r="B411" s="42"/>
      <c r="C411" s="43"/>
      <c r="D411" s="43"/>
      <c r="E411" s="42"/>
      <c r="F411" s="43"/>
      <c r="G411" s="43"/>
      <c r="H411" s="43"/>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row>
    <row r="412">
      <c r="A412" s="42"/>
      <c r="B412" s="42"/>
      <c r="C412" s="43"/>
      <c r="D412" s="43"/>
      <c r="E412" s="42"/>
      <c r="F412" s="43"/>
      <c r="G412" s="43"/>
      <c r="H412" s="43"/>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row>
    <row r="413">
      <c r="A413" s="42"/>
      <c r="B413" s="42"/>
      <c r="C413" s="43"/>
      <c r="D413" s="43"/>
      <c r="E413" s="42"/>
      <c r="F413" s="43"/>
      <c r="G413" s="43"/>
      <c r="H413" s="43"/>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row>
    <row r="414">
      <c r="A414" s="42"/>
      <c r="B414" s="42"/>
      <c r="C414" s="43"/>
      <c r="D414" s="43"/>
      <c r="E414" s="42"/>
      <c r="F414" s="43"/>
      <c r="G414" s="43"/>
      <c r="H414" s="43"/>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row>
    <row r="415">
      <c r="A415" s="42"/>
      <c r="B415" s="42"/>
      <c r="C415" s="43"/>
      <c r="D415" s="43"/>
      <c r="E415" s="42"/>
      <c r="F415" s="43"/>
      <c r="G415" s="43"/>
      <c r="H415" s="43"/>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row>
    <row r="416">
      <c r="A416" s="42"/>
      <c r="B416" s="42"/>
      <c r="C416" s="43"/>
      <c r="D416" s="43"/>
      <c r="E416" s="42"/>
      <c r="F416" s="43"/>
      <c r="G416" s="43"/>
      <c r="H416" s="43"/>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row>
    <row r="417">
      <c r="A417" s="42"/>
      <c r="B417" s="42"/>
      <c r="C417" s="43"/>
      <c r="D417" s="43"/>
      <c r="E417" s="42"/>
      <c r="F417" s="43"/>
      <c r="G417" s="43"/>
      <c r="H417" s="43"/>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row>
    <row r="418">
      <c r="A418" s="42"/>
      <c r="B418" s="42"/>
      <c r="C418" s="43"/>
      <c r="D418" s="43"/>
      <c r="E418" s="42"/>
      <c r="F418" s="43"/>
      <c r="G418" s="43"/>
      <c r="H418" s="43"/>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row>
    <row r="419">
      <c r="A419" s="42"/>
      <c r="B419" s="42"/>
      <c r="C419" s="43"/>
      <c r="D419" s="43"/>
      <c r="E419" s="42"/>
      <c r="F419" s="43"/>
      <c r="G419" s="43"/>
      <c r="H419" s="43"/>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row>
    <row r="420">
      <c r="A420" s="42"/>
      <c r="B420" s="42"/>
      <c r="C420" s="43"/>
      <c r="D420" s="43"/>
      <c r="E420" s="42"/>
      <c r="F420" s="43"/>
      <c r="G420" s="43"/>
      <c r="H420" s="43"/>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row>
    <row r="421">
      <c r="A421" s="42"/>
      <c r="B421" s="42"/>
      <c r="C421" s="43"/>
      <c r="D421" s="43"/>
      <c r="E421" s="42"/>
      <c r="F421" s="43"/>
      <c r="G421" s="43"/>
      <c r="H421" s="43"/>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row>
    <row r="422">
      <c r="A422" s="42"/>
      <c r="B422" s="42"/>
      <c r="C422" s="43"/>
      <c r="D422" s="43"/>
      <c r="E422" s="42"/>
      <c r="F422" s="43"/>
      <c r="G422" s="43"/>
      <c r="H422" s="43"/>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row>
    <row r="423">
      <c r="A423" s="42"/>
      <c r="B423" s="42"/>
      <c r="C423" s="43"/>
      <c r="D423" s="43"/>
      <c r="E423" s="42"/>
      <c r="F423" s="43"/>
      <c r="G423" s="43"/>
      <c r="H423" s="43"/>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row>
    <row r="424">
      <c r="A424" s="42"/>
      <c r="B424" s="42"/>
      <c r="C424" s="43"/>
      <c r="D424" s="43"/>
      <c r="E424" s="42"/>
      <c r="F424" s="43"/>
      <c r="G424" s="43"/>
      <c r="H424" s="43"/>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row>
    <row r="425">
      <c r="A425" s="42"/>
      <c r="B425" s="42"/>
      <c r="C425" s="43"/>
      <c r="D425" s="43"/>
      <c r="E425" s="42"/>
      <c r="F425" s="43"/>
      <c r="G425" s="43"/>
      <c r="H425" s="43"/>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row>
    <row r="426">
      <c r="A426" s="42"/>
      <c r="B426" s="42"/>
      <c r="C426" s="43"/>
      <c r="D426" s="43"/>
      <c r="E426" s="42"/>
      <c r="F426" s="43"/>
      <c r="G426" s="43"/>
      <c r="H426" s="43"/>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row>
    <row r="427">
      <c r="A427" s="42"/>
      <c r="B427" s="42"/>
      <c r="C427" s="43"/>
      <c r="D427" s="43"/>
      <c r="E427" s="42"/>
      <c r="F427" s="43"/>
      <c r="G427" s="43"/>
      <c r="H427" s="43"/>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row>
    <row r="428">
      <c r="A428" s="42"/>
      <c r="B428" s="42"/>
      <c r="C428" s="43"/>
      <c r="D428" s="43"/>
      <c r="E428" s="42"/>
      <c r="F428" s="43"/>
      <c r="G428" s="43"/>
      <c r="H428" s="43"/>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row>
    <row r="429">
      <c r="A429" s="42"/>
      <c r="B429" s="42"/>
      <c r="C429" s="43"/>
      <c r="D429" s="43"/>
      <c r="E429" s="42"/>
      <c r="F429" s="43"/>
      <c r="G429" s="43"/>
      <c r="H429" s="43"/>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row>
    <row r="430">
      <c r="A430" s="42"/>
      <c r="B430" s="42"/>
      <c r="C430" s="43"/>
      <c r="D430" s="43"/>
      <c r="E430" s="42"/>
      <c r="F430" s="43"/>
      <c r="G430" s="43"/>
      <c r="H430" s="43"/>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row>
    <row r="431">
      <c r="A431" s="42"/>
      <c r="B431" s="42"/>
      <c r="C431" s="43"/>
      <c r="D431" s="43"/>
      <c r="E431" s="42"/>
      <c r="F431" s="43"/>
      <c r="G431" s="43"/>
      <c r="H431" s="43"/>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row>
    <row r="432">
      <c r="A432" s="42"/>
      <c r="B432" s="42"/>
      <c r="C432" s="43"/>
      <c r="D432" s="43"/>
      <c r="E432" s="42"/>
      <c r="F432" s="43"/>
      <c r="G432" s="43"/>
      <c r="H432" s="43"/>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row>
    <row r="433">
      <c r="A433" s="42"/>
      <c r="B433" s="42"/>
      <c r="C433" s="43"/>
      <c r="D433" s="43"/>
      <c r="E433" s="42"/>
      <c r="F433" s="43"/>
      <c r="G433" s="43"/>
      <c r="H433" s="43"/>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row>
    <row r="434">
      <c r="A434" s="42"/>
      <c r="B434" s="42"/>
      <c r="C434" s="43"/>
      <c r="D434" s="43"/>
      <c r="E434" s="42"/>
      <c r="F434" s="43"/>
      <c r="G434" s="43"/>
      <c r="H434" s="43"/>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row>
    <row r="435">
      <c r="A435" s="42"/>
      <c r="B435" s="42"/>
      <c r="C435" s="43"/>
      <c r="D435" s="43"/>
      <c r="E435" s="42"/>
      <c r="F435" s="43"/>
      <c r="G435" s="43"/>
      <c r="H435" s="43"/>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row>
    <row r="436">
      <c r="A436" s="42"/>
      <c r="B436" s="42"/>
      <c r="C436" s="43"/>
      <c r="D436" s="43"/>
      <c r="E436" s="42"/>
      <c r="F436" s="43"/>
      <c r="G436" s="43"/>
      <c r="H436" s="43"/>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row>
    <row r="437">
      <c r="A437" s="42"/>
      <c r="B437" s="42"/>
      <c r="C437" s="43"/>
      <c r="D437" s="43"/>
      <c r="E437" s="42"/>
      <c r="F437" s="43"/>
      <c r="G437" s="43"/>
      <c r="H437" s="43"/>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row>
    <row r="438">
      <c r="A438" s="42"/>
      <c r="B438" s="42"/>
      <c r="C438" s="43"/>
      <c r="D438" s="43"/>
      <c r="E438" s="42"/>
      <c r="F438" s="43"/>
      <c r="G438" s="43"/>
      <c r="H438" s="43"/>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row>
    <row r="439">
      <c r="A439" s="42"/>
      <c r="B439" s="42"/>
      <c r="C439" s="43"/>
      <c r="D439" s="43"/>
      <c r="E439" s="42"/>
      <c r="F439" s="43"/>
      <c r="G439" s="43"/>
      <c r="H439" s="43"/>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row>
    <row r="440">
      <c r="A440" s="42"/>
      <c r="B440" s="42"/>
      <c r="C440" s="43"/>
      <c r="D440" s="43"/>
      <c r="E440" s="42"/>
      <c r="F440" s="43"/>
      <c r="G440" s="43"/>
      <c r="H440" s="43"/>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row>
    <row r="441">
      <c r="A441" s="42"/>
      <c r="B441" s="42"/>
      <c r="C441" s="43"/>
      <c r="D441" s="43"/>
      <c r="E441" s="42"/>
      <c r="F441" s="43"/>
      <c r="G441" s="43"/>
      <c r="H441" s="43"/>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row>
    <row r="442">
      <c r="A442" s="42"/>
      <c r="B442" s="42"/>
      <c r="C442" s="43"/>
      <c r="D442" s="43"/>
      <c r="E442" s="42"/>
      <c r="F442" s="43"/>
      <c r="G442" s="43"/>
      <c r="H442" s="43"/>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row>
    <row r="443">
      <c r="A443" s="42"/>
      <c r="B443" s="42"/>
      <c r="C443" s="43"/>
      <c r="D443" s="43"/>
      <c r="E443" s="42"/>
      <c r="F443" s="43"/>
      <c r="G443" s="43"/>
      <c r="H443" s="43"/>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row>
    <row r="444">
      <c r="A444" s="42"/>
      <c r="B444" s="42"/>
      <c r="C444" s="43"/>
      <c r="D444" s="43"/>
      <c r="E444" s="42"/>
      <c r="F444" s="43"/>
      <c r="G444" s="43"/>
      <c r="H444" s="43"/>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row>
    <row r="445">
      <c r="A445" s="42"/>
      <c r="B445" s="42"/>
      <c r="C445" s="43"/>
      <c r="D445" s="43"/>
      <c r="E445" s="42"/>
      <c r="F445" s="43"/>
      <c r="G445" s="43"/>
      <c r="H445" s="43"/>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row>
    <row r="446">
      <c r="A446" s="42"/>
      <c r="B446" s="42"/>
      <c r="C446" s="43"/>
      <c r="D446" s="43"/>
      <c r="E446" s="42"/>
      <c r="F446" s="43"/>
      <c r="G446" s="43"/>
      <c r="H446" s="43"/>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row>
    <row r="447">
      <c r="A447" s="42"/>
      <c r="B447" s="42"/>
      <c r="C447" s="43"/>
      <c r="D447" s="43"/>
      <c r="E447" s="42"/>
      <c r="F447" s="43"/>
      <c r="G447" s="43"/>
      <c r="H447" s="43"/>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row>
    <row r="448">
      <c r="A448" s="42"/>
      <c r="B448" s="42"/>
      <c r="C448" s="43"/>
      <c r="D448" s="43"/>
      <c r="E448" s="42"/>
      <c r="F448" s="43"/>
      <c r="G448" s="43"/>
      <c r="H448" s="43"/>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row>
    <row r="449">
      <c r="A449" s="42"/>
      <c r="B449" s="42"/>
      <c r="C449" s="43"/>
      <c r="D449" s="43"/>
      <c r="E449" s="42"/>
      <c r="F449" s="43"/>
      <c r="G449" s="43"/>
      <c r="H449" s="43"/>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row>
    <row r="450">
      <c r="A450" s="42"/>
      <c r="B450" s="42"/>
      <c r="C450" s="43"/>
      <c r="D450" s="43"/>
      <c r="E450" s="42"/>
      <c r="F450" s="43"/>
      <c r="G450" s="43"/>
      <c r="H450" s="43"/>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row>
    <row r="451">
      <c r="A451" s="42"/>
      <c r="B451" s="42"/>
      <c r="C451" s="43"/>
      <c r="D451" s="43"/>
      <c r="E451" s="42"/>
      <c r="F451" s="43"/>
      <c r="G451" s="43"/>
      <c r="H451" s="43"/>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row>
    <row r="452">
      <c r="A452" s="42"/>
      <c r="B452" s="42"/>
      <c r="C452" s="43"/>
      <c r="D452" s="43"/>
      <c r="E452" s="42"/>
      <c r="F452" s="43"/>
      <c r="G452" s="43"/>
      <c r="H452" s="43"/>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row>
    <row r="453">
      <c r="A453" s="42"/>
      <c r="B453" s="42"/>
      <c r="C453" s="43"/>
      <c r="D453" s="43"/>
      <c r="E453" s="42"/>
      <c r="F453" s="43"/>
      <c r="G453" s="43"/>
      <c r="H453" s="43"/>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row>
    <row r="454">
      <c r="A454" s="42"/>
      <c r="B454" s="42"/>
      <c r="C454" s="43"/>
      <c r="D454" s="43"/>
      <c r="E454" s="42"/>
      <c r="F454" s="43"/>
      <c r="G454" s="43"/>
      <c r="H454" s="43"/>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c r="AY454" s="44"/>
      <c r="AZ454" s="44"/>
      <c r="BA454" s="44"/>
      <c r="BB454" s="44"/>
      <c r="BC454" s="44"/>
      <c r="BD454" s="44"/>
      <c r="BE454" s="44"/>
    </row>
    <row r="455">
      <c r="A455" s="42"/>
      <c r="B455" s="42"/>
      <c r="C455" s="43"/>
      <c r="D455" s="43"/>
      <c r="E455" s="42"/>
      <c r="F455" s="43"/>
      <c r="G455" s="43"/>
      <c r="H455" s="43"/>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row>
    <row r="456">
      <c r="A456" s="42"/>
      <c r="B456" s="42"/>
      <c r="C456" s="43"/>
      <c r="D456" s="43"/>
      <c r="E456" s="42"/>
      <c r="F456" s="43"/>
      <c r="G456" s="43"/>
      <c r="H456" s="43"/>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row>
    <row r="457">
      <c r="A457" s="42"/>
      <c r="B457" s="42"/>
      <c r="C457" s="43"/>
      <c r="D457" s="43"/>
      <c r="E457" s="42"/>
      <c r="F457" s="43"/>
      <c r="G457" s="43"/>
      <c r="H457" s="43"/>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row>
    <row r="458">
      <c r="A458" s="42"/>
      <c r="B458" s="42"/>
      <c r="C458" s="43"/>
      <c r="D458" s="43"/>
      <c r="E458" s="42"/>
      <c r="F458" s="43"/>
      <c r="G458" s="43"/>
      <c r="H458" s="43"/>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row>
    <row r="459">
      <c r="A459" s="42"/>
      <c r="B459" s="42"/>
      <c r="C459" s="43"/>
      <c r="D459" s="43"/>
      <c r="E459" s="42"/>
      <c r="F459" s="43"/>
      <c r="G459" s="43"/>
      <c r="H459" s="43"/>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row>
    <row r="460">
      <c r="A460" s="42"/>
      <c r="B460" s="42"/>
      <c r="C460" s="43"/>
      <c r="D460" s="43"/>
      <c r="E460" s="42"/>
      <c r="F460" s="43"/>
      <c r="G460" s="43"/>
      <c r="H460" s="43"/>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row>
    <row r="461">
      <c r="A461" s="42"/>
      <c r="B461" s="42"/>
      <c r="C461" s="43"/>
      <c r="D461" s="43"/>
      <c r="E461" s="42"/>
      <c r="F461" s="43"/>
      <c r="G461" s="43"/>
      <c r="H461" s="43"/>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row>
    <row r="462">
      <c r="A462" s="42"/>
      <c r="B462" s="42"/>
      <c r="C462" s="43"/>
      <c r="D462" s="43"/>
      <c r="E462" s="42"/>
      <c r="F462" s="43"/>
      <c r="G462" s="43"/>
      <c r="H462" s="43"/>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row>
    <row r="463">
      <c r="A463" s="42"/>
      <c r="B463" s="42"/>
      <c r="C463" s="43"/>
      <c r="D463" s="43"/>
      <c r="E463" s="42"/>
      <c r="F463" s="43"/>
      <c r="G463" s="43"/>
      <c r="H463" s="43"/>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row>
    <row r="464">
      <c r="A464" s="42"/>
      <c r="B464" s="42"/>
      <c r="C464" s="43"/>
      <c r="D464" s="43"/>
      <c r="E464" s="42"/>
      <c r="F464" s="43"/>
      <c r="G464" s="43"/>
      <c r="H464" s="43"/>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row>
    <row r="465">
      <c r="A465" s="42"/>
      <c r="B465" s="42"/>
      <c r="C465" s="43"/>
      <c r="D465" s="43"/>
      <c r="E465" s="42"/>
      <c r="F465" s="43"/>
      <c r="G465" s="43"/>
      <c r="H465" s="43"/>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row>
    <row r="466">
      <c r="A466" s="42"/>
      <c r="B466" s="42"/>
      <c r="C466" s="43"/>
      <c r="D466" s="43"/>
      <c r="E466" s="42"/>
      <c r="F466" s="43"/>
      <c r="G466" s="43"/>
      <c r="H466" s="43"/>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row>
    <row r="467">
      <c r="A467" s="42"/>
      <c r="B467" s="42"/>
      <c r="C467" s="43"/>
      <c r="D467" s="43"/>
      <c r="E467" s="42"/>
      <c r="F467" s="43"/>
      <c r="G467" s="43"/>
      <c r="H467" s="43"/>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row>
    <row r="468">
      <c r="A468" s="42"/>
      <c r="B468" s="42"/>
      <c r="C468" s="43"/>
      <c r="D468" s="43"/>
      <c r="E468" s="42"/>
      <c r="F468" s="43"/>
      <c r="G468" s="43"/>
      <c r="H468" s="43"/>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row>
    <row r="469">
      <c r="A469" s="42"/>
      <c r="B469" s="42"/>
      <c r="C469" s="43"/>
      <c r="D469" s="43"/>
      <c r="E469" s="42"/>
      <c r="F469" s="43"/>
      <c r="G469" s="43"/>
      <c r="H469" s="43"/>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row>
    <row r="470">
      <c r="A470" s="42"/>
      <c r="B470" s="42"/>
      <c r="C470" s="43"/>
      <c r="D470" s="43"/>
      <c r="E470" s="42"/>
      <c r="F470" s="43"/>
      <c r="G470" s="43"/>
      <c r="H470" s="43"/>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row>
    <row r="471">
      <c r="A471" s="42"/>
      <c r="B471" s="42"/>
      <c r="C471" s="43"/>
      <c r="D471" s="43"/>
      <c r="E471" s="42"/>
      <c r="F471" s="43"/>
      <c r="G471" s="43"/>
      <c r="H471" s="43"/>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row>
    <row r="472">
      <c r="A472" s="42"/>
      <c r="B472" s="42"/>
      <c r="C472" s="43"/>
      <c r="D472" s="43"/>
      <c r="E472" s="42"/>
      <c r="F472" s="43"/>
      <c r="G472" s="43"/>
      <c r="H472" s="43"/>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row>
    <row r="473">
      <c r="A473" s="42"/>
      <c r="B473" s="42"/>
      <c r="C473" s="43"/>
      <c r="D473" s="43"/>
      <c r="E473" s="42"/>
      <c r="F473" s="43"/>
      <c r="G473" s="43"/>
      <c r="H473" s="43"/>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row>
    <row r="474">
      <c r="A474" s="42"/>
      <c r="B474" s="42"/>
      <c r="C474" s="43"/>
      <c r="D474" s="43"/>
      <c r="E474" s="42"/>
      <c r="F474" s="43"/>
      <c r="G474" s="43"/>
      <c r="H474" s="43"/>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row>
    <row r="475">
      <c r="A475" s="42"/>
      <c r="B475" s="42"/>
      <c r="C475" s="43"/>
      <c r="D475" s="43"/>
      <c r="E475" s="42"/>
      <c r="F475" s="43"/>
      <c r="G475" s="43"/>
      <c r="H475" s="43"/>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row>
    <row r="476">
      <c r="A476" s="42"/>
      <c r="B476" s="42"/>
      <c r="C476" s="43"/>
      <c r="D476" s="43"/>
      <c r="E476" s="42"/>
      <c r="F476" s="43"/>
      <c r="G476" s="43"/>
      <c r="H476" s="43"/>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row>
    <row r="477">
      <c r="A477" s="42"/>
      <c r="B477" s="42"/>
      <c r="C477" s="43"/>
      <c r="D477" s="43"/>
      <c r="E477" s="42"/>
      <c r="F477" s="43"/>
      <c r="G477" s="43"/>
      <c r="H477" s="43"/>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row>
    <row r="478">
      <c r="A478" s="42"/>
      <c r="B478" s="42"/>
      <c r="C478" s="43"/>
      <c r="D478" s="43"/>
      <c r="E478" s="42"/>
      <c r="F478" s="43"/>
      <c r="G478" s="43"/>
      <c r="H478" s="43"/>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row>
    <row r="479">
      <c r="A479" s="42"/>
      <c r="B479" s="42"/>
      <c r="C479" s="43"/>
      <c r="D479" s="43"/>
      <c r="E479" s="42"/>
      <c r="F479" s="43"/>
      <c r="G479" s="43"/>
      <c r="H479" s="43"/>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row>
    <row r="480">
      <c r="A480" s="42"/>
      <c r="B480" s="42"/>
      <c r="C480" s="43"/>
      <c r="D480" s="43"/>
      <c r="E480" s="42"/>
      <c r="F480" s="43"/>
      <c r="G480" s="43"/>
      <c r="H480" s="43"/>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row>
    <row r="481">
      <c r="A481" s="42"/>
      <c r="B481" s="42"/>
      <c r="C481" s="43"/>
      <c r="D481" s="43"/>
      <c r="E481" s="42"/>
      <c r="F481" s="43"/>
      <c r="G481" s="43"/>
      <c r="H481" s="43"/>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row>
    <row r="482">
      <c r="A482" s="42"/>
      <c r="B482" s="42"/>
      <c r="C482" s="43"/>
      <c r="D482" s="43"/>
      <c r="E482" s="42"/>
      <c r="F482" s="43"/>
      <c r="G482" s="43"/>
      <c r="H482" s="43"/>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row>
    <row r="483">
      <c r="A483" s="42"/>
      <c r="B483" s="42"/>
      <c r="C483" s="43"/>
      <c r="D483" s="43"/>
      <c r="E483" s="42"/>
      <c r="F483" s="43"/>
      <c r="G483" s="43"/>
      <c r="H483" s="43"/>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row>
    <row r="484">
      <c r="A484" s="42"/>
      <c r="B484" s="42"/>
      <c r="C484" s="43"/>
      <c r="D484" s="43"/>
      <c r="E484" s="42"/>
      <c r="F484" s="43"/>
      <c r="G484" s="43"/>
      <c r="H484" s="43"/>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row>
    <row r="485">
      <c r="A485" s="42"/>
      <c r="B485" s="42"/>
      <c r="C485" s="43"/>
      <c r="D485" s="43"/>
      <c r="E485" s="42"/>
      <c r="F485" s="43"/>
      <c r="G485" s="43"/>
      <c r="H485" s="43"/>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row>
    <row r="486">
      <c r="A486" s="42"/>
      <c r="B486" s="42"/>
      <c r="C486" s="43"/>
      <c r="D486" s="43"/>
      <c r="E486" s="42"/>
      <c r="F486" s="43"/>
      <c r="G486" s="43"/>
      <c r="H486" s="43"/>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row>
    <row r="487">
      <c r="A487" s="42"/>
      <c r="B487" s="42"/>
      <c r="C487" s="43"/>
      <c r="D487" s="43"/>
      <c r="E487" s="42"/>
      <c r="F487" s="43"/>
      <c r="G487" s="43"/>
      <c r="H487" s="43"/>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row>
    <row r="488">
      <c r="A488" s="42"/>
      <c r="B488" s="42"/>
      <c r="C488" s="43"/>
      <c r="D488" s="43"/>
      <c r="E488" s="42"/>
      <c r="F488" s="43"/>
      <c r="G488" s="43"/>
      <c r="H488" s="43"/>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row>
    <row r="489">
      <c r="A489" s="42"/>
      <c r="B489" s="42"/>
      <c r="C489" s="43"/>
      <c r="D489" s="43"/>
      <c r="E489" s="42"/>
      <c r="F489" s="43"/>
      <c r="G489" s="43"/>
      <c r="H489" s="43"/>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row>
    <row r="490">
      <c r="A490" s="42"/>
      <c r="B490" s="42"/>
      <c r="C490" s="43"/>
      <c r="D490" s="43"/>
      <c r="E490" s="42"/>
      <c r="F490" s="43"/>
      <c r="G490" s="43"/>
      <c r="H490" s="43"/>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row>
    <row r="491">
      <c r="A491" s="42"/>
      <c r="B491" s="42"/>
      <c r="C491" s="43"/>
      <c r="D491" s="43"/>
      <c r="E491" s="42"/>
      <c r="F491" s="43"/>
      <c r="G491" s="43"/>
      <c r="H491" s="43"/>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row>
    <row r="492">
      <c r="A492" s="42"/>
      <c r="B492" s="42"/>
      <c r="C492" s="43"/>
      <c r="D492" s="43"/>
      <c r="E492" s="42"/>
      <c r="F492" s="43"/>
      <c r="G492" s="43"/>
      <c r="H492" s="43"/>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row>
    <row r="493">
      <c r="A493" s="42"/>
      <c r="B493" s="42"/>
      <c r="C493" s="43"/>
      <c r="D493" s="43"/>
      <c r="E493" s="42"/>
      <c r="F493" s="43"/>
      <c r="G493" s="43"/>
      <c r="H493" s="43"/>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row>
    <row r="494">
      <c r="A494" s="42"/>
      <c r="B494" s="42"/>
      <c r="C494" s="43"/>
      <c r="D494" s="43"/>
      <c r="E494" s="42"/>
      <c r="F494" s="43"/>
      <c r="G494" s="43"/>
      <c r="H494" s="43"/>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row>
    <row r="495">
      <c r="A495" s="42"/>
      <c r="B495" s="42"/>
      <c r="C495" s="43"/>
      <c r="D495" s="43"/>
      <c r="E495" s="42"/>
      <c r="F495" s="43"/>
      <c r="G495" s="43"/>
      <c r="H495" s="43"/>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row>
    <row r="496">
      <c r="A496" s="42"/>
      <c r="B496" s="42"/>
      <c r="C496" s="43"/>
      <c r="D496" s="43"/>
      <c r="E496" s="42"/>
      <c r="F496" s="43"/>
      <c r="G496" s="43"/>
      <c r="H496" s="43"/>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row>
    <row r="497">
      <c r="A497" s="42"/>
      <c r="B497" s="42"/>
      <c r="C497" s="43"/>
      <c r="D497" s="43"/>
      <c r="E497" s="42"/>
      <c r="F497" s="43"/>
      <c r="G497" s="43"/>
      <c r="H497" s="43"/>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row>
    <row r="498">
      <c r="A498" s="42"/>
      <c r="B498" s="42"/>
      <c r="C498" s="43"/>
      <c r="D498" s="43"/>
      <c r="E498" s="42"/>
      <c r="F498" s="43"/>
      <c r="G498" s="43"/>
      <c r="H498" s="43"/>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row>
    <row r="499">
      <c r="A499" s="42"/>
      <c r="B499" s="42"/>
      <c r="C499" s="43"/>
      <c r="D499" s="43"/>
      <c r="E499" s="42"/>
      <c r="F499" s="43"/>
      <c r="G499" s="43"/>
      <c r="H499" s="43"/>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row>
    <row r="500">
      <c r="A500" s="42"/>
      <c r="B500" s="42"/>
      <c r="C500" s="43"/>
      <c r="D500" s="43"/>
      <c r="E500" s="42"/>
      <c r="F500" s="43"/>
      <c r="G500" s="43"/>
      <c r="H500" s="43"/>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row>
    <row r="501">
      <c r="A501" s="42"/>
      <c r="B501" s="42"/>
      <c r="C501" s="43"/>
      <c r="D501" s="43"/>
      <c r="E501" s="42"/>
      <c r="F501" s="43"/>
      <c r="G501" s="43"/>
      <c r="H501" s="43"/>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c r="BA501" s="44"/>
      <c r="BB501" s="44"/>
      <c r="BC501" s="44"/>
      <c r="BD501" s="44"/>
      <c r="BE501" s="44"/>
    </row>
    <row r="502">
      <c r="A502" s="42"/>
      <c r="B502" s="42"/>
      <c r="C502" s="43"/>
      <c r="D502" s="43"/>
      <c r="E502" s="42"/>
      <c r="F502" s="43"/>
      <c r="G502" s="43"/>
      <c r="H502" s="43"/>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c r="BA502" s="44"/>
      <c r="BB502" s="44"/>
      <c r="BC502" s="44"/>
      <c r="BD502" s="44"/>
      <c r="BE502" s="44"/>
    </row>
    <row r="503">
      <c r="A503" s="42"/>
      <c r="B503" s="42"/>
      <c r="C503" s="43"/>
      <c r="D503" s="43"/>
      <c r="E503" s="42"/>
      <c r="F503" s="43"/>
      <c r="G503" s="43"/>
      <c r="H503" s="43"/>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c r="BA503" s="44"/>
      <c r="BB503" s="44"/>
      <c r="BC503" s="44"/>
      <c r="BD503" s="44"/>
      <c r="BE503" s="44"/>
    </row>
    <row r="504">
      <c r="A504" s="42"/>
      <c r="B504" s="42"/>
      <c r="C504" s="43"/>
      <c r="D504" s="43"/>
      <c r="E504" s="42"/>
      <c r="F504" s="43"/>
      <c r="G504" s="43"/>
      <c r="H504" s="43"/>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c r="BA504" s="44"/>
      <c r="BB504" s="44"/>
      <c r="BC504" s="44"/>
      <c r="BD504" s="44"/>
      <c r="BE504" s="44"/>
    </row>
    <row r="505">
      <c r="A505" s="42"/>
      <c r="B505" s="42"/>
      <c r="C505" s="43"/>
      <c r="D505" s="43"/>
      <c r="E505" s="42"/>
      <c r="F505" s="43"/>
      <c r="G505" s="43"/>
      <c r="H505" s="43"/>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c r="BA505" s="44"/>
      <c r="BB505" s="44"/>
      <c r="BC505" s="44"/>
      <c r="BD505" s="44"/>
      <c r="BE505" s="44"/>
    </row>
    <row r="506">
      <c r="A506" s="42"/>
      <c r="B506" s="42"/>
      <c r="C506" s="43"/>
      <c r="D506" s="43"/>
      <c r="E506" s="42"/>
      <c r="F506" s="43"/>
      <c r="G506" s="43"/>
      <c r="H506" s="43"/>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c r="BA506" s="44"/>
      <c r="BB506" s="44"/>
      <c r="BC506" s="44"/>
      <c r="BD506" s="44"/>
      <c r="BE506" s="44"/>
    </row>
    <row r="507">
      <c r="A507" s="42"/>
      <c r="B507" s="42"/>
      <c r="C507" s="43"/>
      <c r="D507" s="43"/>
      <c r="E507" s="42"/>
      <c r="F507" s="43"/>
      <c r="G507" s="43"/>
      <c r="H507" s="43"/>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c r="BA507" s="44"/>
      <c r="BB507" s="44"/>
      <c r="BC507" s="44"/>
      <c r="BD507" s="44"/>
      <c r="BE507" s="44"/>
    </row>
    <row r="508">
      <c r="A508" s="42"/>
      <c r="B508" s="42"/>
      <c r="C508" s="43"/>
      <c r="D508" s="43"/>
      <c r="E508" s="42"/>
      <c r="F508" s="43"/>
      <c r="G508" s="43"/>
      <c r="H508" s="43"/>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row>
    <row r="509">
      <c r="A509" s="42"/>
      <c r="B509" s="42"/>
      <c r="C509" s="43"/>
      <c r="D509" s="43"/>
      <c r="E509" s="42"/>
      <c r="F509" s="43"/>
      <c r="G509" s="43"/>
      <c r="H509" s="43"/>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c r="AY509" s="44"/>
      <c r="AZ509" s="44"/>
      <c r="BA509" s="44"/>
      <c r="BB509" s="44"/>
      <c r="BC509" s="44"/>
      <c r="BD509" s="44"/>
      <c r="BE509" s="44"/>
    </row>
    <row r="510">
      <c r="A510" s="42"/>
      <c r="B510" s="42"/>
      <c r="C510" s="43"/>
      <c r="D510" s="43"/>
      <c r="E510" s="42"/>
      <c r="F510" s="43"/>
      <c r="G510" s="43"/>
      <c r="H510" s="43"/>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44"/>
      <c r="AX510" s="44"/>
      <c r="AY510" s="44"/>
      <c r="AZ510" s="44"/>
      <c r="BA510" s="44"/>
      <c r="BB510" s="44"/>
      <c r="BC510" s="44"/>
      <c r="BD510" s="44"/>
      <c r="BE510" s="44"/>
    </row>
    <row r="511">
      <c r="A511" s="42"/>
      <c r="B511" s="42"/>
      <c r="C511" s="43"/>
      <c r="D511" s="43"/>
      <c r="E511" s="42"/>
      <c r="F511" s="43"/>
      <c r="G511" s="43"/>
      <c r="H511" s="43"/>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44"/>
      <c r="AX511" s="44"/>
      <c r="AY511" s="44"/>
      <c r="AZ511" s="44"/>
      <c r="BA511" s="44"/>
      <c r="BB511" s="44"/>
      <c r="BC511" s="44"/>
      <c r="BD511" s="44"/>
      <c r="BE511" s="44"/>
    </row>
    <row r="512">
      <c r="A512" s="42"/>
      <c r="B512" s="42"/>
      <c r="C512" s="43"/>
      <c r="D512" s="43"/>
      <c r="E512" s="42"/>
      <c r="F512" s="43"/>
      <c r="G512" s="43"/>
      <c r="H512" s="43"/>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44"/>
      <c r="AX512" s="44"/>
      <c r="AY512" s="44"/>
      <c r="AZ512" s="44"/>
      <c r="BA512" s="44"/>
      <c r="BB512" s="44"/>
      <c r="BC512" s="44"/>
      <c r="BD512" s="44"/>
      <c r="BE512" s="44"/>
    </row>
    <row r="513">
      <c r="A513" s="42"/>
      <c r="B513" s="42"/>
      <c r="C513" s="43"/>
      <c r="D513" s="43"/>
      <c r="E513" s="42"/>
      <c r="F513" s="43"/>
      <c r="G513" s="43"/>
      <c r="H513" s="43"/>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44"/>
      <c r="AX513" s="44"/>
      <c r="AY513" s="44"/>
      <c r="AZ513" s="44"/>
      <c r="BA513" s="44"/>
      <c r="BB513" s="44"/>
      <c r="BC513" s="44"/>
      <c r="BD513" s="44"/>
      <c r="BE513" s="44"/>
    </row>
    <row r="514">
      <c r="A514" s="42"/>
      <c r="B514" s="42"/>
      <c r="C514" s="43"/>
      <c r="D514" s="43"/>
      <c r="E514" s="42"/>
      <c r="F514" s="43"/>
      <c r="G514" s="43"/>
      <c r="H514" s="43"/>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c r="AY514" s="44"/>
      <c r="AZ514" s="44"/>
      <c r="BA514" s="44"/>
      <c r="BB514" s="44"/>
      <c r="BC514" s="44"/>
      <c r="BD514" s="44"/>
      <c r="BE514" s="44"/>
    </row>
    <row r="515">
      <c r="A515" s="42"/>
      <c r="B515" s="42"/>
      <c r="C515" s="43"/>
      <c r="D515" s="43"/>
      <c r="E515" s="42"/>
      <c r="F515" s="43"/>
      <c r="G515" s="43"/>
      <c r="H515" s="43"/>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c r="AY515" s="44"/>
      <c r="AZ515" s="44"/>
      <c r="BA515" s="44"/>
      <c r="BB515" s="44"/>
      <c r="BC515" s="44"/>
      <c r="BD515" s="44"/>
      <c r="BE515" s="44"/>
    </row>
    <row r="516">
      <c r="A516" s="42"/>
      <c r="B516" s="42"/>
      <c r="C516" s="43"/>
      <c r="D516" s="43"/>
      <c r="E516" s="42"/>
      <c r="F516" s="43"/>
      <c r="G516" s="43"/>
      <c r="H516" s="43"/>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44"/>
      <c r="AX516" s="44"/>
      <c r="AY516" s="44"/>
      <c r="AZ516" s="44"/>
      <c r="BA516" s="44"/>
      <c r="BB516" s="44"/>
      <c r="BC516" s="44"/>
      <c r="BD516" s="44"/>
      <c r="BE516" s="44"/>
    </row>
    <row r="517">
      <c r="A517" s="42"/>
      <c r="B517" s="42"/>
      <c r="C517" s="43"/>
      <c r="D517" s="43"/>
      <c r="E517" s="42"/>
      <c r="F517" s="43"/>
      <c r="G517" s="43"/>
      <c r="H517" s="43"/>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44"/>
      <c r="AX517" s="44"/>
      <c r="AY517" s="44"/>
      <c r="AZ517" s="44"/>
      <c r="BA517" s="44"/>
      <c r="BB517" s="44"/>
      <c r="BC517" s="44"/>
      <c r="BD517" s="44"/>
      <c r="BE517" s="44"/>
    </row>
    <row r="518">
      <c r="A518" s="42"/>
      <c r="B518" s="42"/>
      <c r="C518" s="43"/>
      <c r="D518" s="43"/>
      <c r="E518" s="42"/>
      <c r="F518" s="43"/>
      <c r="G518" s="43"/>
      <c r="H518" s="43"/>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44"/>
      <c r="AU518" s="44"/>
      <c r="AV518" s="44"/>
      <c r="AW518" s="44"/>
      <c r="AX518" s="44"/>
      <c r="AY518" s="44"/>
      <c r="AZ518" s="44"/>
      <c r="BA518" s="44"/>
      <c r="BB518" s="44"/>
      <c r="BC518" s="44"/>
      <c r="BD518" s="44"/>
      <c r="BE518" s="44"/>
    </row>
    <row r="519">
      <c r="A519" s="42"/>
      <c r="B519" s="42"/>
      <c r="C519" s="43"/>
      <c r="D519" s="43"/>
      <c r="E519" s="42"/>
      <c r="F519" s="43"/>
      <c r="G519" s="43"/>
      <c r="H519" s="43"/>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c r="AY519" s="44"/>
      <c r="AZ519" s="44"/>
      <c r="BA519" s="44"/>
      <c r="BB519" s="44"/>
      <c r="BC519" s="44"/>
      <c r="BD519" s="44"/>
      <c r="BE519" s="44"/>
    </row>
    <row r="520">
      <c r="A520" s="42"/>
      <c r="B520" s="42"/>
      <c r="C520" s="43"/>
      <c r="D520" s="43"/>
      <c r="E520" s="42"/>
      <c r="F520" s="43"/>
      <c r="G520" s="43"/>
      <c r="H520" s="43"/>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row>
    <row r="521">
      <c r="A521" s="42"/>
      <c r="B521" s="42"/>
      <c r="C521" s="43"/>
      <c r="D521" s="43"/>
      <c r="E521" s="42"/>
      <c r="F521" s="43"/>
      <c r="G521" s="43"/>
      <c r="H521" s="43"/>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44"/>
      <c r="AX521" s="44"/>
      <c r="AY521" s="44"/>
      <c r="AZ521" s="44"/>
      <c r="BA521" s="44"/>
      <c r="BB521" s="44"/>
      <c r="BC521" s="44"/>
      <c r="BD521" s="44"/>
      <c r="BE521" s="44"/>
    </row>
    <row r="522">
      <c r="A522" s="42"/>
      <c r="B522" s="42"/>
      <c r="C522" s="43"/>
      <c r="D522" s="43"/>
      <c r="E522" s="42"/>
      <c r="F522" s="43"/>
      <c r="G522" s="43"/>
      <c r="H522" s="43"/>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c r="AY522" s="44"/>
      <c r="AZ522" s="44"/>
      <c r="BA522" s="44"/>
      <c r="BB522" s="44"/>
      <c r="BC522" s="44"/>
      <c r="BD522" s="44"/>
      <c r="BE522" s="44"/>
    </row>
    <row r="523">
      <c r="A523" s="42"/>
      <c r="B523" s="42"/>
      <c r="C523" s="43"/>
      <c r="D523" s="43"/>
      <c r="E523" s="42"/>
      <c r="F523" s="43"/>
      <c r="G523" s="43"/>
      <c r="H523" s="43"/>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c r="AY523" s="44"/>
      <c r="AZ523" s="44"/>
      <c r="BA523" s="44"/>
      <c r="BB523" s="44"/>
      <c r="BC523" s="44"/>
      <c r="BD523" s="44"/>
      <c r="BE523" s="44"/>
    </row>
    <row r="524">
      <c r="A524" s="42"/>
      <c r="B524" s="42"/>
      <c r="C524" s="43"/>
      <c r="D524" s="43"/>
      <c r="E524" s="42"/>
      <c r="F524" s="43"/>
      <c r="G524" s="43"/>
      <c r="H524" s="43"/>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c r="AY524" s="44"/>
      <c r="AZ524" s="44"/>
      <c r="BA524" s="44"/>
      <c r="BB524" s="44"/>
      <c r="BC524" s="44"/>
      <c r="BD524" s="44"/>
      <c r="BE524" s="44"/>
    </row>
    <row r="525">
      <c r="A525" s="42"/>
      <c r="B525" s="42"/>
      <c r="C525" s="43"/>
      <c r="D525" s="43"/>
      <c r="E525" s="42"/>
      <c r="F525" s="43"/>
      <c r="G525" s="43"/>
      <c r="H525" s="43"/>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c r="AY525" s="44"/>
      <c r="AZ525" s="44"/>
      <c r="BA525" s="44"/>
      <c r="BB525" s="44"/>
      <c r="BC525" s="44"/>
      <c r="BD525" s="44"/>
      <c r="BE525" s="44"/>
    </row>
    <row r="526">
      <c r="A526" s="42"/>
      <c r="B526" s="42"/>
      <c r="C526" s="43"/>
      <c r="D526" s="43"/>
      <c r="E526" s="42"/>
      <c r="F526" s="43"/>
      <c r="G526" s="43"/>
      <c r="H526" s="43"/>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row>
    <row r="527">
      <c r="A527" s="42"/>
      <c r="B527" s="42"/>
      <c r="C527" s="43"/>
      <c r="D527" s="43"/>
      <c r="E527" s="42"/>
      <c r="F527" s="43"/>
      <c r="G527" s="43"/>
      <c r="H527" s="43"/>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c r="AY527" s="44"/>
      <c r="AZ527" s="44"/>
      <c r="BA527" s="44"/>
      <c r="BB527" s="44"/>
      <c r="BC527" s="44"/>
      <c r="BD527" s="44"/>
      <c r="BE527" s="44"/>
    </row>
    <row r="528">
      <c r="A528" s="42"/>
      <c r="B528" s="42"/>
      <c r="C528" s="43"/>
      <c r="D528" s="43"/>
      <c r="E528" s="42"/>
      <c r="F528" s="43"/>
      <c r="G528" s="43"/>
      <c r="H528" s="43"/>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c r="AY528" s="44"/>
      <c r="AZ528" s="44"/>
      <c r="BA528" s="44"/>
      <c r="BB528" s="44"/>
      <c r="BC528" s="44"/>
      <c r="BD528" s="44"/>
      <c r="BE528" s="44"/>
    </row>
    <row r="529">
      <c r="A529" s="42"/>
      <c r="B529" s="42"/>
      <c r="C529" s="43"/>
      <c r="D529" s="43"/>
      <c r="E529" s="42"/>
      <c r="F529" s="43"/>
      <c r="G529" s="43"/>
      <c r="H529" s="43"/>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44"/>
      <c r="AX529" s="44"/>
      <c r="AY529" s="44"/>
      <c r="AZ529" s="44"/>
      <c r="BA529" s="44"/>
      <c r="BB529" s="44"/>
      <c r="BC529" s="44"/>
      <c r="BD529" s="44"/>
      <c r="BE529" s="44"/>
    </row>
    <row r="530">
      <c r="A530" s="42"/>
      <c r="B530" s="42"/>
      <c r="C530" s="43"/>
      <c r="D530" s="43"/>
      <c r="E530" s="42"/>
      <c r="F530" s="43"/>
      <c r="G530" s="43"/>
      <c r="H530" s="43"/>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c r="AY530" s="44"/>
      <c r="AZ530" s="44"/>
      <c r="BA530" s="44"/>
      <c r="BB530" s="44"/>
      <c r="BC530" s="44"/>
      <c r="BD530" s="44"/>
      <c r="BE530" s="44"/>
    </row>
    <row r="531">
      <c r="A531" s="42"/>
      <c r="B531" s="42"/>
      <c r="C531" s="43"/>
      <c r="D531" s="43"/>
      <c r="E531" s="42"/>
      <c r="F531" s="43"/>
      <c r="G531" s="43"/>
      <c r="H531" s="43"/>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44"/>
      <c r="AX531" s="44"/>
      <c r="AY531" s="44"/>
      <c r="AZ531" s="44"/>
      <c r="BA531" s="44"/>
      <c r="BB531" s="44"/>
      <c r="BC531" s="44"/>
      <c r="BD531" s="44"/>
      <c r="BE531" s="44"/>
    </row>
    <row r="532">
      <c r="A532" s="42"/>
      <c r="B532" s="42"/>
      <c r="C532" s="43"/>
      <c r="D532" s="43"/>
      <c r="E532" s="42"/>
      <c r="F532" s="43"/>
      <c r="G532" s="43"/>
      <c r="H532" s="43"/>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row>
    <row r="533">
      <c r="A533" s="42"/>
      <c r="B533" s="42"/>
      <c r="C533" s="43"/>
      <c r="D533" s="43"/>
      <c r="E533" s="42"/>
      <c r="F533" s="43"/>
      <c r="G533" s="43"/>
      <c r="H533" s="43"/>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row>
    <row r="534">
      <c r="A534" s="42"/>
      <c r="B534" s="42"/>
      <c r="C534" s="43"/>
      <c r="D534" s="43"/>
      <c r="E534" s="42"/>
      <c r="F534" s="43"/>
      <c r="G534" s="43"/>
      <c r="H534" s="43"/>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row>
    <row r="535">
      <c r="A535" s="42"/>
      <c r="B535" s="42"/>
      <c r="C535" s="43"/>
      <c r="D535" s="43"/>
      <c r="E535" s="42"/>
      <c r="F535" s="43"/>
      <c r="G535" s="43"/>
      <c r="H535" s="43"/>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row>
    <row r="536">
      <c r="A536" s="42"/>
      <c r="B536" s="42"/>
      <c r="C536" s="43"/>
      <c r="D536" s="43"/>
      <c r="E536" s="42"/>
      <c r="F536" s="43"/>
      <c r="G536" s="43"/>
      <c r="H536" s="43"/>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row>
    <row r="537">
      <c r="A537" s="42"/>
      <c r="B537" s="42"/>
      <c r="C537" s="43"/>
      <c r="D537" s="43"/>
      <c r="E537" s="42"/>
      <c r="F537" s="43"/>
      <c r="G537" s="43"/>
      <c r="H537" s="43"/>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row>
    <row r="538">
      <c r="A538" s="42"/>
      <c r="B538" s="42"/>
      <c r="C538" s="43"/>
      <c r="D538" s="43"/>
      <c r="E538" s="42"/>
      <c r="F538" s="43"/>
      <c r="G538" s="43"/>
      <c r="H538" s="43"/>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row>
    <row r="539">
      <c r="A539" s="42"/>
      <c r="B539" s="42"/>
      <c r="C539" s="43"/>
      <c r="D539" s="43"/>
      <c r="E539" s="42"/>
      <c r="F539" s="43"/>
      <c r="G539" s="43"/>
      <c r="H539" s="43"/>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44"/>
      <c r="AY539" s="44"/>
      <c r="AZ539" s="44"/>
      <c r="BA539" s="44"/>
      <c r="BB539" s="44"/>
      <c r="BC539" s="44"/>
      <c r="BD539" s="44"/>
      <c r="BE539" s="44"/>
    </row>
    <row r="540">
      <c r="A540" s="42"/>
      <c r="B540" s="42"/>
      <c r="C540" s="43"/>
      <c r="D540" s="43"/>
      <c r="E540" s="42"/>
      <c r="F540" s="43"/>
      <c r="G540" s="43"/>
      <c r="H540" s="43"/>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44"/>
      <c r="AU540" s="44"/>
      <c r="AV540" s="44"/>
      <c r="AW540" s="44"/>
      <c r="AX540" s="44"/>
      <c r="AY540" s="44"/>
      <c r="AZ540" s="44"/>
      <c r="BA540" s="44"/>
      <c r="BB540" s="44"/>
      <c r="BC540" s="44"/>
      <c r="BD540" s="44"/>
      <c r="BE540" s="44"/>
    </row>
    <row r="541">
      <c r="A541" s="42"/>
      <c r="B541" s="42"/>
      <c r="C541" s="43"/>
      <c r="D541" s="43"/>
      <c r="E541" s="42"/>
      <c r="F541" s="43"/>
      <c r="G541" s="43"/>
      <c r="H541" s="43"/>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44"/>
      <c r="AU541" s="44"/>
      <c r="AV541" s="44"/>
      <c r="AW541" s="44"/>
      <c r="AX541" s="44"/>
      <c r="AY541" s="44"/>
      <c r="AZ541" s="44"/>
      <c r="BA541" s="44"/>
      <c r="BB541" s="44"/>
      <c r="BC541" s="44"/>
      <c r="BD541" s="44"/>
      <c r="BE541" s="44"/>
    </row>
    <row r="542">
      <c r="A542" s="42"/>
      <c r="B542" s="42"/>
      <c r="C542" s="43"/>
      <c r="D542" s="43"/>
      <c r="E542" s="42"/>
      <c r="F542" s="43"/>
      <c r="G542" s="43"/>
      <c r="H542" s="43"/>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44"/>
      <c r="AX542" s="44"/>
      <c r="AY542" s="44"/>
      <c r="AZ542" s="44"/>
      <c r="BA542" s="44"/>
      <c r="BB542" s="44"/>
      <c r="BC542" s="44"/>
      <c r="BD542" s="44"/>
      <c r="BE542" s="44"/>
    </row>
    <row r="543">
      <c r="A543" s="42"/>
      <c r="B543" s="42"/>
      <c r="C543" s="43"/>
      <c r="D543" s="43"/>
      <c r="E543" s="42"/>
      <c r="F543" s="43"/>
      <c r="G543" s="43"/>
      <c r="H543" s="43"/>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44"/>
      <c r="AU543" s="44"/>
      <c r="AV543" s="44"/>
      <c r="AW543" s="44"/>
      <c r="AX543" s="44"/>
      <c r="AY543" s="44"/>
      <c r="AZ543" s="44"/>
      <c r="BA543" s="44"/>
      <c r="BB543" s="44"/>
      <c r="BC543" s="44"/>
      <c r="BD543" s="44"/>
      <c r="BE543" s="44"/>
    </row>
    <row r="544">
      <c r="A544" s="42"/>
      <c r="B544" s="42"/>
      <c r="C544" s="43"/>
      <c r="D544" s="43"/>
      <c r="E544" s="42"/>
      <c r="F544" s="43"/>
      <c r="G544" s="43"/>
      <c r="H544" s="43"/>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c r="AY544" s="44"/>
      <c r="AZ544" s="44"/>
      <c r="BA544" s="44"/>
      <c r="BB544" s="44"/>
      <c r="BC544" s="44"/>
      <c r="BD544" s="44"/>
      <c r="BE544" s="44"/>
    </row>
    <row r="545">
      <c r="A545" s="42"/>
      <c r="B545" s="42"/>
      <c r="C545" s="43"/>
      <c r="D545" s="43"/>
      <c r="E545" s="42"/>
      <c r="F545" s="43"/>
      <c r="G545" s="43"/>
      <c r="H545" s="43"/>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c r="AY545" s="44"/>
      <c r="AZ545" s="44"/>
      <c r="BA545" s="44"/>
      <c r="BB545" s="44"/>
      <c r="BC545" s="44"/>
      <c r="BD545" s="44"/>
      <c r="BE545" s="44"/>
    </row>
    <row r="546">
      <c r="A546" s="42"/>
      <c r="B546" s="42"/>
      <c r="C546" s="43"/>
      <c r="D546" s="43"/>
      <c r="E546" s="42"/>
      <c r="F546" s="43"/>
      <c r="G546" s="43"/>
      <c r="H546" s="43"/>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44"/>
      <c r="AU546" s="44"/>
      <c r="AV546" s="44"/>
      <c r="AW546" s="44"/>
      <c r="AX546" s="44"/>
      <c r="AY546" s="44"/>
      <c r="AZ546" s="44"/>
      <c r="BA546" s="44"/>
      <c r="BB546" s="44"/>
      <c r="BC546" s="44"/>
      <c r="BD546" s="44"/>
      <c r="BE546" s="44"/>
    </row>
    <row r="547">
      <c r="A547" s="42"/>
      <c r="B547" s="42"/>
      <c r="C547" s="43"/>
      <c r="D547" s="43"/>
      <c r="E547" s="42"/>
      <c r="F547" s="43"/>
      <c r="G547" s="43"/>
      <c r="H547" s="43"/>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44"/>
      <c r="AX547" s="44"/>
      <c r="AY547" s="44"/>
      <c r="AZ547" s="44"/>
      <c r="BA547" s="44"/>
      <c r="BB547" s="44"/>
      <c r="BC547" s="44"/>
      <c r="BD547" s="44"/>
      <c r="BE547" s="44"/>
    </row>
    <row r="548">
      <c r="A548" s="42"/>
      <c r="B548" s="42"/>
      <c r="C548" s="43"/>
      <c r="D548" s="43"/>
      <c r="E548" s="42"/>
      <c r="F548" s="43"/>
      <c r="G548" s="43"/>
      <c r="H548" s="43"/>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44"/>
      <c r="AX548" s="44"/>
      <c r="AY548" s="44"/>
      <c r="AZ548" s="44"/>
      <c r="BA548" s="44"/>
      <c r="BB548" s="44"/>
      <c r="BC548" s="44"/>
      <c r="BD548" s="44"/>
      <c r="BE548" s="44"/>
    </row>
    <row r="549">
      <c r="A549" s="42"/>
      <c r="B549" s="42"/>
      <c r="C549" s="43"/>
      <c r="D549" s="43"/>
      <c r="E549" s="42"/>
      <c r="F549" s="43"/>
      <c r="G549" s="43"/>
      <c r="H549" s="43"/>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44"/>
      <c r="AU549" s="44"/>
      <c r="AV549" s="44"/>
      <c r="AW549" s="44"/>
      <c r="AX549" s="44"/>
      <c r="AY549" s="44"/>
      <c r="AZ549" s="44"/>
      <c r="BA549" s="44"/>
      <c r="BB549" s="44"/>
      <c r="BC549" s="44"/>
      <c r="BD549" s="44"/>
      <c r="BE549" s="44"/>
    </row>
    <row r="550">
      <c r="A550" s="42"/>
      <c r="B550" s="42"/>
      <c r="C550" s="43"/>
      <c r="D550" s="43"/>
      <c r="E550" s="42"/>
      <c r="F550" s="43"/>
      <c r="G550" s="43"/>
      <c r="H550" s="43"/>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c r="AY550" s="44"/>
      <c r="AZ550" s="44"/>
      <c r="BA550" s="44"/>
      <c r="BB550" s="44"/>
      <c r="BC550" s="44"/>
      <c r="BD550" s="44"/>
      <c r="BE550" s="44"/>
    </row>
    <row r="551">
      <c r="A551" s="42"/>
      <c r="B551" s="42"/>
      <c r="C551" s="43"/>
      <c r="D551" s="43"/>
      <c r="E551" s="42"/>
      <c r="F551" s="43"/>
      <c r="G551" s="43"/>
      <c r="H551" s="43"/>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44"/>
      <c r="AX551" s="44"/>
      <c r="AY551" s="44"/>
      <c r="AZ551" s="44"/>
      <c r="BA551" s="44"/>
      <c r="BB551" s="44"/>
      <c r="BC551" s="44"/>
      <c r="BD551" s="44"/>
      <c r="BE551" s="44"/>
    </row>
    <row r="552">
      <c r="A552" s="42"/>
      <c r="B552" s="42"/>
      <c r="C552" s="43"/>
      <c r="D552" s="43"/>
      <c r="E552" s="42"/>
      <c r="F552" s="43"/>
      <c r="G552" s="43"/>
      <c r="H552" s="43"/>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row>
    <row r="553">
      <c r="A553" s="42"/>
      <c r="B553" s="42"/>
      <c r="C553" s="43"/>
      <c r="D553" s="43"/>
      <c r="E553" s="42"/>
      <c r="F553" s="43"/>
      <c r="G553" s="43"/>
      <c r="H553" s="43"/>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row>
    <row r="554">
      <c r="A554" s="42"/>
      <c r="B554" s="42"/>
      <c r="C554" s="43"/>
      <c r="D554" s="43"/>
      <c r="E554" s="42"/>
      <c r="F554" s="43"/>
      <c r="G554" s="43"/>
      <c r="H554" s="43"/>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row>
    <row r="555">
      <c r="A555" s="42"/>
      <c r="B555" s="42"/>
      <c r="C555" s="43"/>
      <c r="D555" s="43"/>
      <c r="E555" s="42"/>
      <c r="F555" s="43"/>
      <c r="G555" s="43"/>
      <c r="H555" s="43"/>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row>
    <row r="556">
      <c r="A556" s="42"/>
      <c r="B556" s="42"/>
      <c r="C556" s="43"/>
      <c r="D556" s="43"/>
      <c r="E556" s="42"/>
      <c r="F556" s="43"/>
      <c r="G556" s="43"/>
      <c r="H556" s="43"/>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row>
    <row r="557">
      <c r="A557" s="42"/>
      <c r="B557" s="42"/>
      <c r="C557" s="43"/>
      <c r="D557" s="43"/>
      <c r="E557" s="42"/>
      <c r="F557" s="43"/>
      <c r="G557" s="43"/>
      <c r="H557" s="43"/>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row>
    <row r="558">
      <c r="A558" s="42"/>
      <c r="B558" s="42"/>
      <c r="C558" s="43"/>
      <c r="D558" s="43"/>
      <c r="E558" s="42"/>
      <c r="F558" s="43"/>
      <c r="G558" s="43"/>
      <c r="H558" s="43"/>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row>
    <row r="559">
      <c r="A559" s="42"/>
      <c r="B559" s="42"/>
      <c r="C559" s="43"/>
      <c r="D559" s="43"/>
      <c r="E559" s="42"/>
      <c r="F559" s="43"/>
      <c r="G559" s="43"/>
      <c r="H559" s="43"/>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44"/>
      <c r="AX559" s="44"/>
      <c r="AY559" s="44"/>
      <c r="AZ559" s="44"/>
      <c r="BA559" s="44"/>
      <c r="BB559" s="44"/>
      <c r="BC559" s="44"/>
      <c r="BD559" s="44"/>
      <c r="BE559" s="44"/>
    </row>
    <row r="560">
      <c r="A560" s="42"/>
      <c r="B560" s="42"/>
      <c r="C560" s="43"/>
      <c r="D560" s="43"/>
      <c r="E560" s="42"/>
      <c r="F560" s="43"/>
      <c r="G560" s="43"/>
      <c r="H560" s="43"/>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44"/>
      <c r="AU560" s="44"/>
      <c r="AV560" s="44"/>
      <c r="AW560" s="44"/>
      <c r="AX560" s="44"/>
      <c r="AY560" s="44"/>
      <c r="AZ560" s="44"/>
      <c r="BA560" s="44"/>
      <c r="BB560" s="44"/>
      <c r="BC560" s="44"/>
      <c r="BD560" s="44"/>
      <c r="BE560" s="44"/>
    </row>
    <row r="561">
      <c r="A561" s="42"/>
      <c r="B561" s="42"/>
      <c r="C561" s="43"/>
      <c r="D561" s="43"/>
      <c r="E561" s="42"/>
      <c r="F561" s="43"/>
      <c r="G561" s="43"/>
      <c r="H561" s="43"/>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44"/>
      <c r="AU561" s="44"/>
      <c r="AV561" s="44"/>
      <c r="AW561" s="44"/>
      <c r="AX561" s="44"/>
      <c r="AY561" s="44"/>
      <c r="AZ561" s="44"/>
      <c r="BA561" s="44"/>
      <c r="BB561" s="44"/>
      <c r="BC561" s="44"/>
      <c r="BD561" s="44"/>
      <c r="BE561" s="44"/>
    </row>
    <row r="562">
      <c r="A562" s="42"/>
      <c r="B562" s="42"/>
      <c r="C562" s="43"/>
      <c r="D562" s="43"/>
      <c r="E562" s="42"/>
      <c r="F562" s="43"/>
      <c r="G562" s="43"/>
      <c r="H562" s="43"/>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44"/>
      <c r="AX562" s="44"/>
      <c r="AY562" s="44"/>
      <c r="AZ562" s="44"/>
      <c r="BA562" s="44"/>
      <c r="BB562" s="44"/>
      <c r="BC562" s="44"/>
      <c r="BD562" s="44"/>
      <c r="BE562" s="44"/>
    </row>
    <row r="563">
      <c r="A563" s="42"/>
      <c r="B563" s="42"/>
      <c r="C563" s="43"/>
      <c r="D563" s="43"/>
      <c r="E563" s="42"/>
      <c r="F563" s="43"/>
      <c r="G563" s="43"/>
      <c r="H563" s="43"/>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44"/>
      <c r="AU563" s="44"/>
      <c r="AV563" s="44"/>
      <c r="AW563" s="44"/>
      <c r="AX563" s="44"/>
      <c r="AY563" s="44"/>
      <c r="AZ563" s="44"/>
      <c r="BA563" s="44"/>
      <c r="BB563" s="44"/>
      <c r="BC563" s="44"/>
      <c r="BD563" s="44"/>
      <c r="BE563" s="44"/>
    </row>
    <row r="564">
      <c r="A564" s="42"/>
      <c r="B564" s="42"/>
      <c r="C564" s="43"/>
      <c r="D564" s="43"/>
      <c r="E564" s="42"/>
      <c r="F564" s="43"/>
      <c r="G564" s="43"/>
      <c r="H564" s="43"/>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44"/>
      <c r="AU564" s="44"/>
      <c r="AV564" s="44"/>
      <c r="AW564" s="44"/>
      <c r="AX564" s="44"/>
      <c r="AY564" s="44"/>
      <c r="AZ564" s="44"/>
      <c r="BA564" s="44"/>
      <c r="BB564" s="44"/>
      <c r="BC564" s="44"/>
      <c r="BD564" s="44"/>
      <c r="BE564" s="44"/>
    </row>
    <row r="565">
      <c r="A565" s="42"/>
      <c r="B565" s="42"/>
      <c r="C565" s="43"/>
      <c r="D565" s="43"/>
      <c r="E565" s="42"/>
      <c r="F565" s="43"/>
      <c r="G565" s="43"/>
      <c r="H565" s="43"/>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44"/>
      <c r="AU565" s="44"/>
      <c r="AV565" s="44"/>
      <c r="AW565" s="44"/>
      <c r="AX565" s="44"/>
      <c r="AY565" s="44"/>
      <c r="AZ565" s="44"/>
      <c r="BA565" s="44"/>
      <c r="BB565" s="44"/>
      <c r="BC565" s="44"/>
      <c r="BD565" s="44"/>
      <c r="BE565" s="44"/>
    </row>
    <row r="566">
      <c r="A566" s="42"/>
      <c r="B566" s="42"/>
      <c r="C566" s="43"/>
      <c r="D566" s="43"/>
      <c r="E566" s="42"/>
      <c r="F566" s="43"/>
      <c r="G566" s="43"/>
      <c r="H566" s="43"/>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44"/>
      <c r="AU566" s="44"/>
      <c r="AV566" s="44"/>
      <c r="AW566" s="44"/>
      <c r="AX566" s="44"/>
      <c r="AY566" s="44"/>
      <c r="AZ566" s="44"/>
      <c r="BA566" s="44"/>
      <c r="BB566" s="44"/>
      <c r="BC566" s="44"/>
      <c r="BD566" s="44"/>
      <c r="BE566" s="44"/>
    </row>
    <row r="567">
      <c r="A567" s="42"/>
      <c r="B567" s="42"/>
      <c r="C567" s="43"/>
      <c r="D567" s="43"/>
      <c r="E567" s="42"/>
      <c r="F567" s="43"/>
      <c r="G567" s="43"/>
      <c r="H567" s="43"/>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44"/>
      <c r="AU567" s="44"/>
      <c r="AV567" s="44"/>
      <c r="AW567" s="44"/>
      <c r="AX567" s="44"/>
      <c r="AY567" s="44"/>
      <c r="AZ567" s="44"/>
      <c r="BA567" s="44"/>
      <c r="BB567" s="44"/>
      <c r="BC567" s="44"/>
      <c r="BD567" s="44"/>
      <c r="BE567" s="44"/>
    </row>
    <row r="568">
      <c r="A568" s="42"/>
      <c r="B568" s="42"/>
      <c r="C568" s="43"/>
      <c r="D568" s="43"/>
      <c r="E568" s="42"/>
      <c r="F568" s="43"/>
      <c r="G568" s="43"/>
      <c r="H568" s="43"/>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44"/>
      <c r="AU568" s="44"/>
      <c r="AV568" s="44"/>
      <c r="AW568" s="44"/>
      <c r="AX568" s="44"/>
      <c r="AY568" s="44"/>
      <c r="AZ568" s="44"/>
      <c r="BA568" s="44"/>
      <c r="BB568" s="44"/>
      <c r="BC568" s="44"/>
      <c r="BD568" s="44"/>
      <c r="BE568" s="44"/>
    </row>
    <row r="569">
      <c r="A569" s="42"/>
      <c r="B569" s="42"/>
      <c r="C569" s="43"/>
      <c r="D569" s="43"/>
      <c r="E569" s="42"/>
      <c r="F569" s="43"/>
      <c r="G569" s="43"/>
      <c r="H569" s="43"/>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44"/>
      <c r="AU569" s="44"/>
      <c r="AV569" s="44"/>
      <c r="AW569" s="44"/>
      <c r="AX569" s="44"/>
      <c r="AY569" s="44"/>
      <c r="AZ569" s="44"/>
      <c r="BA569" s="44"/>
      <c r="BB569" s="44"/>
      <c r="BC569" s="44"/>
      <c r="BD569" s="44"/>
      <c r="BE569" s="44"/>
    </row>
    <row r="570">
      <c r="A570" s="42"/>
      <c r="B570" s="42"/>
      <c r="C570" s="43"/>
      <c r="D570" s="43"/>
      <c r="E570" s="42"/>
      <c r="F570" s="43"/>
      <c r="G570" s="43"/>
      <c r="H570" s="43"/>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44"/>
      <c r="AX570" s="44"/>
      <c r="AY570" s="44"/>
      <c r="AZ570" s="44"/>
      <c r="BA570" s="44"/>
      <c r="BB570" s="44"/>
      <c r="BC570" s="44"/>
      <c r="BD570" s="44"/>
      <c r="BE570" s="44"/>
    </row>
    <row r="571">
      <c r="A571" s="42"/>
      <c r="B571" s="42"/>
      <c r="C571" s="43"/>
      <c r="D571" s="43"/>
      <c r="E571" s="42"/>
      <c r="F571" s="43"/>
      <c r="G571" s="43"/>
      <c r="H571" s="43"/>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44"/>
      <c r="AU571" s="44"/>
      <c r="AV571" s="44"/>
      <c r="AW571" s="44"/>
      <c r="AX571" s="44"/>
      <c r="AY571" s="44"/>
      <c r="AZ571" s="44"/>
      <c r="BA571" s="44"/>
      <c r="BB571" s="44"/>
      <c r="BC571" s="44"/>
      <c r="BD571" s="44"/>
      <c r="BE571" s="44"/>
    </row>
    <row r="572">
      <c r="A572" s="42"/>
      <c r="B572" s="42"/>
      <c r="C572" s="43"/>
      <c r="D572" s="43"/>
      <c r="E572" s="42"/>
      <c r="F572" s="43"/>
      <c r="G572" s="43"/>
      <c r="H572" s="43"/>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44"/>
      <c r="AU572" s="44"/>
      <c r="AV572" s="44"/>
      <c r="AW572" s="44"/>
      <c r="AX572" s="44"/>
      <c r="AY572" s="44"/>
      <c r="AZ572" s="44"/>
      <c r="BA572" s="44"/>
      <c r="BB572" s="44"/>
      <c r="BC572" s="44"/>
      <c r="BD572" s="44"/>
      <c r="BE572" s="44"/>
    </row>
    <row r="573">
      <c r="A573" s="42"/>
      <c r="B573" s="42"/>
      <c r="C573" s="43"/>
      <c r="D573" s="43"/>
      <c r="E573" s="42"/>
      <c r="F573" s="43"/>
      <c r="G573" s="43"/>
      <c r="H573" s="43"/>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44"/>
      <c r="AU573" s="44"/>
      <c r="AV573" s="44"/>
      <c r="AW573" s="44"/>
      <c r="AX573" s="44"/>
      <c r="AY573" s="44"/>
      <c r="AZ573" s="44"/>
      <c r="BA573" s="44"/>
      <c r="BB573" s="44"/>
      <c r="BC573" s="44"/>
      <c r="BD573" s="44"/>
      <c r="BE573" s="44"/>
    </row>
    <row r="574">
      <c r="A574" s="42"/>
      <c r="B574" s="42"/>
      <c r="C574" s="43"/>
      <c r="D574" s="43"/>
      <c r="E574" s="42"/>
      <c r="F574" s="43"/>
      <c r="G574" s="43"/>
      <c r="H574" s="43"/>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44"/>
      <c r="AX574" s="44"/>
      <c r="AY574" s="44"/>
      <c r="AZ574" s="44"/>
      <c r="BA574" s="44"/>
      <c r="BB574" s="44"/>
      <c r="BC574" s="44"/>
      <c r="BD574" s="44"/>
      <c r="BE574" s="44"/>
    </row>
    <row r="575">
      <c r="A575" s="42"/>
      <c r="B575" s="42"/>
      <c r="C575" s="43"/>
      <c r="D575" s="43"/>
      <c r="E575" s="42"/>
      <c r="F575" s="43"/>
      <c r="G575" s="43"/>
      <c r="H575" s="43"/>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c r="AN575" s="44"/>
      <c r="AO575" s="44"/>
      <c r="AP575" s="44"/>
      <c r="AQ575" s="44"/>
      <c r="AR575" s="44"/>
      <c r="AS575" s="44"/>
      <c r="AT575" s="44"/>
      <c r="AU575" s="44"/>
      <c r="AV575" s="44"/>
      <c r="AW575" s="44"/>
      <c r="AX575" s="44"/>
      <c r="AY575" s="44"/>
      <c r="AZ575" s="44"/>
      <c r="BA575" s="44"/>
      <c r="BB575" s="44"/>
      <c r="BC575" s="44"/>
      <c r="BD575" s="44"/>
      <c r="BE575" s="44"/>
    </row>
    <row r="576">
      <c r="A576" s="42"/>
      <c r="B576" s="42"/>
      <c r="C576" s="43"/>
      <c r="D576" s="43"/>
      <c r="E576" s="42"/>
      <c r="F576" s="43"/>
      <c r="G576" s="43"/>
      <c r="H576" s="43"/>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c r="AS576" s="44"/>
      <c r="AT576" s="44"/>
      <c r="AU576" s="44"/>
      <c r="AV576" s="44"/>
      <c r="AW576" s="44"/>
      <c r="AX576" s="44"/>
      <c r="AY576" s="44"/>
      <c r="AZ576" s="44"/>
      <c r="BA576" s="44"/>
      <c r="BB576" s="44"/>
      <c r="BC576" s="44"/>
      <c r="BD576" s="44"/>
      <c r="BE576" s="44"/>
    </row>
    <row r="577">
      <c r="A577" s="42"/>
      <c r="B577" s="42"/>
      <c r="C577" s="43"/>
      <c r="D577" s="43"/>
      <c r="E577" s="42"/>
      <c r="F577" s="43"/>
      <c r="G577" s="43"/>
      <c r="H577" s="43"/>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c r="AS577" s="44"/>
      <c r="AT577" s="44"/>
      <c r="AU577" s="44"/>
      <c r="AV577" s="44"/>
      <c r="AW577" s="44"/>
      <c r="AX577" s="44"/>
      <c r="AY577" s="44"/>
      <c r="AZ577" s="44"/>
      <c r="BA577" s="44"/>
      <c r="BB577" s="44"/>
      <c r="BC577" s="44"/>
      <c r="BD577" s="44"/>
      <c r="BE577" s="44"/>
    </row>
    <row r="578">
      <c r="A578" s="42"/>
      <c r="B578" s="42"/>
      <c r="C578" s="43"/>
      <c r="D578" s="43"/>
      <c r="E578" s="42"/>
      <c r="F578" s="43"/>
      <c r="G578" s="43"/>
      <c r="H578" s="43"/>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44"/>
      <c r="AU578" s="44"/>
      <c r="AV578" s="44"/>
      <c r="AW578" s="44"/>
      <c r="AX578" s="44"/>
      <c r="AY578" s="44"/>
      <c r="AZ578" s="44"/>
      <c r="BA578" s="44"/>
      <c r="BB578" s="44"/>
      <c r="BC578" s="44"/>
      <c r="BD578" s="44"/>
      <c r="BE578" s="44"/>
    </row>
    <row r="579">
      <c r="A579" s="42"/>
      <c r="B579" s="42"/>
      <c r="C579" s="43"/>
      <c r="D579" s="43"/>
      <c r="E579" s="42"/>
      <c r="F579" s="43"/>
      <c r="G579" s="43"/>
      <c r="H579" s="43"/>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44"/>
      <c r="AU579" s="44"/>
      <c r="AV579" s="44"/>
      <c r="AW579" s="44"/>
      <c r="AX579" s="44"/>
      <c r="AY579" s="44"/>
      <c r="AZ579" s="44"/>
      <c r="BA579" s="44"/>
      <c r="BB579" s="44"/>
      <c r="BC579" s="44"/>
      <c r="BD579" s="44"/>
      <c r="BE579" s="44"/>
    </row>
    <row r="580">
      <c r="A580" s="42"/>
      <c r="B580" s="42"/>
      <c r="C580" s="43"/>
      <c r="D580" s="43"/>
      <c r="E580" s="42"/>
      <c r="F580" s="43"/>
      <c r="G580" s="43"/>
      <c r="H580" s="43"/>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c r="AN580" s="44"/>
      <c r="AO580" s="44"/>
      <c r="AP580" s="44"/>
      <c r="AQ580" s="44"/>
      <c r="AR580" s="44"/>
      <c r="AS580" s="44"/>
      <c r="AT580" s="44"/>
      <c r="AU580" s="44"/>
      <c r="AV580" s="44"/>
      <c r="AW580" s="44"/>
      <c r="AX580" s="44"/>
      <c r="AY580" s="44"/>
      <c r="AZ580" s="44"/>
      <c r="BA580" s="44"/>
      <c r="BB580" s="44"/>
      <c r="BC580" s="44"/>
      <c r="BD580" s="44"/>
      <c r="BE580" s="44"/>
    </row>
    <row r="581">
      <c r="A581" s="42"/>
      <c r="B581" s="42"/>
      <c r="C581" s="43"/>
      <c r="D581" s="43"/>
      <c r="E581" s="42"/>
      <c r="F581" s="43"/>
      <c r="G581" s="43"/>
      <c r="H581" s="43"/>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44"/>
      <c r="AU581" s="44"/>
      <c r="AV581" s="44"/>
      <c r="AW581" s="44"/>
      <c r="AX581" s="44"/>
      <c r="AY581" s="44"/>
      <c r="AZ581" s="44"/>
      <c r="BA581" s="44"/>
      <c r="BB581" s="44"/>
      <c r="BC581" s="44"/>
      <c r="BD581" s="44"/>
      <c r="BE581" s="44"/>
    </row>
    <row r="582">
      <c r="A582" s="42"/>
      <c r="B582" s="42"/>
      <c r="C582" s="43"/>
      <c r="D582" s="43"/>
      <c r="E582" s="42"/>
      <c r="F582" s="43"/>
      <c r="G582" s="43"/>
      <c r="H582" s="43"/>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c r="AS582" s="44"/>
      <c r="AT582" s="44"/>
      <c r="AU582" s="44"/>
      <c r="AV582" s="44"/>
      <c r="AW582" s="44"/>
      <c r="AX582" s="44"/>
      <c r="AY582" s="44"/>
      <c r="AZ582" s="44"/>
      <c r="BA582" s="44"/>
      <c r="BB582" s="44"/>
      <c r="BC582" s="44"/>
      <c r="BD582" s="44"/>
      <c r="BE582" s="44"/>
    </row>
    <row r="583">
      <c r="A583" s="42"/>
      <c r="B583" s="42"/>
      <c r="C583" s="43"/>
      <c r="D583" s="43"/>
      <c r="E583" s="42"/>
      <c r="F583" s="43"/>
      <c r="G583" s="43"/>
      <c r="H583" s="43"/>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c r="AS583" s="44"/>
      <c r="AT583" s="44"/>
      <c r="AU583" s="44"/>
      <c r="AV583" s="44"/>
      <c r="AW583" s="44"/>
      <c r="AX583" s="44"/>
      <c r="AY583" s="44"/>
      <c r="AZ583" s="44"/>
      <c r="BA583" s="44"/>
      <c r="BB583" s="44"/>
      <c r="BC583" s="44"/>
      <c r="BD583" s="44"/>
      <c r="BE583" s="44"/>
    </row>
    <row r="584">
      <c r="A584" s="42"/>
      <c r="B584" s="42"/>
      <c r="C584" s="43"/>
      <c r="D584" s="43"/>
      <c r="E584" s="42"/>
      <c r="F584" s="43"/>
      <c r="G584" s="43"/>
      <c r="H584" s="43"/>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44"/>
      <c r="AU584" s="44"/>
      <c r="AV584" s="44"/>
      <c r="AW584" s="44"/>
      <c r="AX584" s="44"/>
      <c r="AY584" s="44"/>
      <c r="AZ584" s="44"/>
      <c r="BA584" s="44"/>
      <c r="BB584" s="44"/>
      <c r="BC584" s="44"/>
      <c r="BD584" s="44"/>
      <c r="BE584" s="44"/>
    </row>
    <row r="585">
      <c r="A585" s="42"/>
      <c r="B585" s="42"/>
      <c r="C585" s="43"/>
      <c r="D585" s="43"/>
      <c r="E585" s="42"/>
      <c r="F585" s="43"/>
      <c r="G585" s="43"/>
      <c r="H585" s="43"/>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c r="AS585" s="44"/>
      <c r="AT585" s="44"/>
      <c r="AU585" s="44"/>
      <c r="AV585" s="44"/>
      <c r="AW585" s="44"/>
      <c r="AX585" s="44"/>
      <c r="AY585" s="44"/>
      <c r="AZ585" s="44"/>
      <c r="BA585" s="44"/>
      <c r="BB585" s="44"/>
      <c r="BC585" s="44"/>
      <c r="BD585" s="44"/>
      <c r="BE585" s="44"/>
    </row>
    <row r="586">
      <c r="A586" s="42"/>
      <c r="B586" s="42"/>
      <c r="C586" s="43"/>
      <c r="D586" s="43"/>
      <c r="E586" s="42"/>
      <c r="F586" s="43"/>
      <c r="G586" s="43"/>
      <c r="H586" s="43"/>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c r="AS586" s="44"/>
      <c r="AT586" s="44"/>
      <c r="AU586" s="44"/>
      <c r="AV586" s="44"/>
      <c r="AW586" s="44"/>
      <c r="AX586" s="44"/>
      <c r="AY586" s="44"/>
      <c r="AZ586" s="44"/>
      <c r="BA586" s="44"/>
      <c r="BB586" s="44"/>
      <c r="BC586" s="44"/>
      <c r="BD586" s="44"/>
      <c r="BE586" s="44"/>
    </row>
    <row r="587">
      <c r="A587" s="42"/>
      <c r="B587" s="42"/>
      <c r="C587" s="43"/>
      <c r="D587" s="43"/>
      <c r="E587" s="42"/>
      <c r="F587" s="43"/>
      <c r="G587" s="43"/>
      <c r="H587" s="43"/>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c r="AS587" s="44"/>
      <c r="AT587" s="44"/>
      <c r="AU587" s="44"/>
      <c r="AV587" s="44"/>
      <c r="AW587" s="44"/>
      <c r="AX587" s="44"/>
      <c r="AY587" s="44"/>
      <c r="AZ587" s="44"/>
      <c r="BA587" s="44"/>
      <c r="BB587" s="44"/>
      <c r="BC587" s="44"/>
      <c r="BD587" s="44"/>
      <c r="BE587" s="44"/>
    </row>
    <row r="588">
      <c r="A588" s="42"/>
      <c r="B588" s="42"/>
      <c r="C588" s="43"/>
      <c r="D588" s="43"/>
      <c r="E588" s="42"/>
      <c r="F588" s="43"/>
      <c r="G588" s="43"/>
      <c r="H588" s="43"/>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44"/>
      <c r="AU588" s="44"/>
      <c r="AV588" s="44"/>
      <c r="AW588" s="44"/>
      <c r="AX588" s="44"/>
      <c r="AY588" s="44"/>
      <c r="AZ588" s="44"/>
      <c r="BA588" s="44"/>
      <c r="BB588" s="44"/>
      <c r="BC588" s="44"/>
      <c r="BD588" s="44"/>
      <c r="BE588" s="44"/>
    </row>
    <row r="589">
      <c r="A589" s="42"/>
      <c r="B589" s="42"/>
      <c r="C589" s="43"/>
      <c r="D589" s="43"/>
      <c r="E589" s="42"/>
      <c r="F589" s="43"/>
      <c r="G589" s="43"/>
      <c r="H589" s="43"/>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c r="AS589" s="44"/>
      <c r="AT589" s="44"/>
      <c r="AU589" s="44"/>
      <c r="AV589" s="44"/>
      <c r="AW589" s="44"/>
      <c r="AX589" s="44"/>
      <c r="AY589" s="44"/>
      <c r="AZ589" s="44"/>
      <c r="BA589" s="44"/>
      <c r="BB589" s="44"/>
      <c r="BC589" s="44"/>
      <c r="BD589" s="44"/>
      <c r="BE589" s="44"/>
    </row>
    <row r="590">
      <c r="A590" s="42"/>
      <c r="B590" s="42"/>
      <c r="C590" s="43"/>
      <c r="D590" s="43"/>
      <c r="E590" s="42"/>
      <c r="F590" s="43"/>
      <c r="G590" s="43"/>
      <c r="H590" s="43"/>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44"/>
      <c r="AU590" s="44"/>
      <c r="AV590" s="44"/>
      <c r="AW590" s="44"/>
      <c r="AX590" s="44"/>
      <c r="AY590" s="44"/>
      <c r="AZ590" s="44"/>
      <c r="BA590" s="44"/>
      <c r="BB590" s="44"/>
      <c r="BC590" s="44"/>
      <c r="BD590" s="44"/>
      <c r="BE590" s="44"/>
    </row>
    <row r="591">
      <c r="A591" s="42"/>
      <c r="B591" s="42"/>
      <c r="C591" s="43"/>
      <c r="D591" s="43"/>
      <c r="E591" s="42"/>
      <c r="F591" s="43"/>
      <c r="G591" s="43"/>
      <c r="H591" s="43"/>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c r="AN591" s="44"/>
      <c r="AO591" s="44"/>
      <c r="AP591" s="44"/>
      <c r="AQ591" s="44"/>
      <c r="AR591" s="44"/>
      <c r="AS591" s="44"/>
      <c r="AT591" s="44"/>
      <c r="AU591" s="44"/>
      <c r="AV591" s="44"/>
      <c r="AW591" s="44"/>
      <c r="AX591" s="44"/>
      <c r="AY591" s="44"/>
      <c r="AZ591" s="44"/>
      <c r="BA591" s="44"/>
      <c r="BB591" s="44"/>
      <c r="BC591" s="44"/>
      <c r="BD591" s="44"/>
      <c r="BE591" s="44"/>
    </row>
    <row r="592">
      <c r="A592" s="42"/>
      <c r="B592" s="42"/>
      <c r="C592" s="43"/>
      <c r="D592" s="43"/>
      <c r="E592" s="42"/>
      <c r="F592" s="43"/>
      <c r="G592" s="43"/>
      <c r="H592" s="43"/>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c r="AS592" s="44"/>
      <c r="AT592" s="44"/>
      <c r="AU592" s="44"/>
      <c r="AV592" s="44"/>
      <c r="AW592" s="44"/>
      <c r="AX592" s="44"/>
      <c r="AY592" s="44"/>
      <c r="AZ592" s="44"/>
      <c r="BA592" s="44"/>
      <c r="BB592" s="44"/>
      <c r="BC592" s="44"/>
      <c r="BD592" s="44"/>
      <c r="BE592" s="44"/>
    </row>
    <row r="593">
      <c r="A593" s="42"/>
      <c r="B593" s="42"/>
      <c r="C593" s="43"/>
      <c r="D593" s="43"/>
      <c r="E593" s="42"/>
      <c r="F593" s="43"/>
      <c r="G593" s="43"/>
      <c r="H593" s="43"/>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c r="AS593" s="44"/>
      <c r="AT593" s="44"/>
      <c r="AU593" s="44"/>
      <c r="AV593" s="44"/>
      <c r="AW593" s="44"/>
      <c r="AX593" s="44"/>
      <c r="AY593" s="44"/>
      <c r="AZ593" s="44"/>
      <c r="BA593" s="44"/>
      <c r="BB593" s="44"/>
      <c r="BC593" s="44"/>
      <c r="BD593" s="44"/>
      <c r="BE593" s="44"/>
    </row>
    <row r="594">
      <c r="A594" s="42"/>
      <c r="B594" s="42"/>
      <c r="C594" s="43"/>
      <c r="D594" s="43"/>
      <c r="E594" s="42"/>
      <c r="F594" s="43"/>
      <c r="G594" s="43"/>
      <c r="H594" s="43"/>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c r="AS594" s="44"/>
      <c r="AT594" s="44"/>
      <c r="AU594" s="44"/>
      <c r="AV594" s="44"/>
      <c r="AW594" s="44"/>
      <c r="AX594" s="44"/>
      <c r="AY594" s="44"/>
      <c r="AZ594" s="44"/>
      <c r="BA594" s="44"/>
      <c r="BB594" s="44"/>
      <c r="BC594" s="44"/>
      <c r="BD594" s="44"/>
      <c r="BE594" s="44"/>
    </row>
    <row r="595">
      <c r="A595" s="42"/>
      <c r="B595" s="42"/>
      <c r="C595" s="43"/>
      <c r="D595" s="43"/>
      <c r="E595" s="42"/>
      <c r="F595" s="43"/>
      <c r="G595" s="43"/>
      <c r="H595" s="43"/>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c r="AS595" s="44"/>
      <c r="AT595" s="44"/>
      <c r="AU595" s="44"/>
      <c r="AV595" s="44"/>
      <c r="AW595" s="44"/>
      <c r="AX595" s="44"/>
      <c r="AY595" s="44"/>
      <c r="AZ595" s="44"/>
      <c r="BA595" s="44"/>
      <c r="BB595" s="44"/>
      <c r="BC595" s="44"/>
      <c r="BD595" s="44"/>
      <c r="BE595" s="44"/>
    </row>
    <row r="596">
      <c r="A596" s="42"/>
      <c r="B596" s="42"/>
      <c r="C596" s="43"/>
      <c r="D596" s="43"/>
      <c r="E596" s="42"/>
      <c r="F596" s="43"/>
      <c r="G596" s="43"/>
      <c r="H596" s="43"/>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c r="AS596" s="44"/>
      <c r="AT596" s="44"/>
      <c r="AU596" s="44"/>
      <c r="AV596" s="44"/>
      <c r="AW596" s="44"/>
      <c r="AX596" s="44"/>
      <c r="AY596" s="44"/>
      <c r="AZ596" s="44"/>
      <c r="BA596" s="44"/>
      <c r="BB596" s="44"/>
      <c r="BC596" s="44"/>
      <c r="BD596" s="44"/>
      <c r="BE596" s="44"/>
    </row>
    <row r="597">
      <c r="A597" s="42"/>
      <c r="B597" s="42"/>
      <c r="C597" s="43"/>
      <c r="D597" s="43"/>
      <c r="E597" s="42"/>
      <c r="F597" s="43"/>
      <c r="G597" s="43"/>
      <c r="H597" s="43"/>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c r="AS597" s="44"/>
      <c r="AT597" s="44"/>
      <c r="AU597" s="44"/>
      <c r="AV597" s="44"/>
      <c r="AW597" s="44"/>
      <c r="AX597" s="44"/>
      <c r="AY597" s="44"/>
      <c r="AZ597" s="44"/>
      <c r="BA597" s="44"/>
      <c r="BB597" s="44"/>
      <c r="BC597" s="44"/>
      <c r="BD597" s="44"/>
      <c r="BE597" s="44"/>
    </row>
    <row r="598">
      <c r="A598" s="42"/>
      <c r="B598" s="42"/>
      <c r="C598" s="43"/>
      <c r="D598" s="43"/>
      <c r="E598" s="42"/>
      <c r="F598" s="43"/>
      <c r="G598" s="43"/>
      <c r="H598" s="43"/>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c r="AS598" s="44"/>
      <c r="AT598" s="44"/>
      <c r="AU598" s="44"/>
      <c r="AV598" s="44"/>
      <c r="AW598" s="44"/>
      <c r="AX598" s="44"/>
      <c r="AY598" s="44"/>
      <c r="AZ598" s="44"/>
      <c r="BA598" s="44"/>
      <c r="BB598" s="44"/>
      <c r="BC598" s="44"/>
      <c r="BD598" s="44"/>
      <c r="BE598" s="44"/>
    </row>
    <row r="599">
      <c r="A599" s="42"/>
      <c r="B599" s="42"/>
      <c r="C599" s="43"/>
      <c r="D599" s="43"/>
      <c r="E599" s="42"/>
      <c r="F599" s="43"/>
      <c r="G599" s="43"/>
      <c r="H599" s="43"/>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c r="AS599" s="44"/>
      <c r="AT599" s="44"/>
      <c r="AU599" s="44"/>
      <c r="AV599" s="44"/>
      <c r="AW599" s="44"/>
      <c r="AX599" s="44"/>
      <c r="AY599" s="44"/>
      <c r="AZ599" s="44"/>
      <c r="BA599" s="44"/>
      <c r="BB599" s="44"/>
      <c r="BC599" s="44"/>
      <c r="BD599" s="44"/>
      <c r="BE599" s="44"/>
    </row>
    <row r="600">
      <c r="A600" s="42"/>
      <c r="B600" s="42"/>
      <c r="C600" s="43"/>
      <c r="D600" s="43"/>
      <c r="E600" s="42"/>
      <c r="F600" s="43"/>
      <c r="G600" s="43"/>
      <c r="H600" s="43"/>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44"/>
      <c r="AU600" s="44"/>
      <c r="AV600" s="44"/>
      <c r="AW600" s="44"/>
      <c r="AX600" s="44"/>
      <c r="AY600" s="44"/>
      <c r="AZ600" s="44"/>
      <c r="BA600" s="44"/>
      <c r="BB600" s="44"/>
      <c r="BC600" s="44"/>
      <c r="BD600" s="44"/>
      <c r="BE600" s="44"/>
    </row>
    <row r="601">
      <c r="A601" s="42"/>
      <c r="B601" s="42"/>
      <c r="C601" s="43"/>
      <c r="D601" s="43"/>
      <c r="E601" s="42"/>
      <c r="F601" s="43"/>
      <c r="G601" s="43"/>
      <c r="H601" s="43"/>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44"/>
      <c r="AU601" s="44"/>
      <c r="AV601" s="44"/>
      <c r="AW601" s="44"/>
      <c r="AX601" s="44"/>
      <c r="AY601" s="44"/>
      <c r="AZ601" s="44"/>
      <c r="BA601" s="44"/>
      <c r="BB601" s="44"/>
      <c r="BC601" s="44"/>
      <c r="BD601" s="44"/>
      <c r="BE601" s="44"/>
    </row>
    <row r="602">
      <c r="A602" s="42"/>
      <c r="B602" s="42"/>
      <c r="C602" s="43"/>
      <c r="D602" s="43"/>
      <c r="E602" s="42"/>
      <c r="F602" s="43"/>
      <c r="G602" s="43"/>
      <c r="H602" s="43"/>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44"/>
      <c r="AU602" s="44"/>
      <c r="AV602" s="44"/>
      <c r="AW602" s="44"/>
      <c r="AX602" s="44"/>
      <c r="AY602" s="44"/>
      <c r="AZ602" s="44"/>
      <c r="BA602" s="44"/>
      <c r="BB602" s="44"/>
      <c r="BC602" s="44"/>
      <c r="BD602" s="44"/>
      <c r="BE602" s="44"/>
    </row>
    <row r="603">
      <c r="A603" s="42"/>
      <c r="B603" s="42"/>
      <c r="C603" s="43"/>
      <c r="D603" s="43"/>
      <c r="E603" s="42"/>
      <c r="F603" s="43"/>
      <c r="G603" s="43"/>
      <c r="H603" s="43"/>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c r="AS603" s="44"/>
      <c r="AT603" s="44"/>
      <c r="AU603" s="44"/>
      <c r="AV603" s="44"/>
      <c r="AW603" s="44"/>
      <c r="AX603" s="44"/>
      <c r="AY603" s="44"/>
      <c r="AZ603" s="44"/>
      <c r="BA603" s="44"/>
      <c r="BB603" s="44"/>
      <c r="BC603" s="44"/>
      <c r="BD603" s="44"/>
      <c r="BE603" s="44"/>
    </row>
    <row r="604">
      <c r="A604" s="42"/>
      <c r="B604" s="42"/>
      <c r="C604" s="43"/>
      <c r="D604" s="43"/>
      <c r="E604" s="42"/>
      <c r="F604" s="43"/>
      <c r="G604" s="43"/>
      <c r="H604" s="43"/>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c r="AS604" s="44"/>
      <c r="AT604" s="44"/>
      <c r="AU604" s="44"/>
      <c r="AV604" s="44"/>
      <c r="AW604" s="44"/>
      <c r="AX604" s="44"/>
      <c r="AY604" s="44"/>
      <c r="AZ604" s="44"/>
      <c r="BA604" s="44"/>
      <c r="BB604" s="44"/>
      <c r="BC604" s="44"/>
      <c r="BD604" s="44"/>
      <c r="BE604" s="44"/>
    </row>
    <row r="605">
      <c r="A605" s="42"/>
      <c r="B605" s="42"/>
      <c r="C605" s="43"/>
      <c r="D605" s="43"/>
      <c r="E605" s="42"/>
      <c r="F605" s="43"/>
      <c r="G605" s="43"/>
      <c r="H605" s="43"/>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c r="AS605" s="44"/>
      <c r="AT605" s="44"/>
      <c r="AU605" s="44"/>
      <c r="AV605" s="44"/>
      <c r="AW605" s="44"/>
      <c r="AX605" s="44"/>
      <c r="AY605" s="44"/>
      <c r="AZ605" s="44"/>
      <c r="BA605" s="44"/>
      <c r="BB605" s="44"/>
      <c r="BC605" s="44"/>
      <c r="BD605" s="44"/>
      <c r="BE605" s="44"/>
    </row>
    <row r="606">
      <c r="A606" s="42"/>
      <c r="B606" s="42"/>
      <c r="C606" s="43"/>
      <c r="D606" s="43"/>
      <c r="E606" s="42"/>
      <c r="F606" s="43"/>
      <c r="G606" s="43"/>
      <c r="H606" s="43"/>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44"/>
      <c r="AU606" s="44"/>
      <c r="AV606" s="44"/>
      <c r="AW606" s="44"/>
      <c r="AX606" s="44"/>
      <c r="AY606" s="44"/>
      <c r="AZ606" s="44"/>
      <c r="BA606" s="44"/>
      <c r="BB606" s="44"/>
      <c r="BC606" s="44"/>
      <c r="BD606" s="44"/>
      <c r="BE606" s="44"/>
    </row>
    <row r="607">
      <c r="A607" s="42"/>
      <c r="B607" s="42"/>
      <c r="C607" s="43"/>
      <c r="D607" s="43"/>
      <c r="E607" s="42"/>
      <c r="F607" s="43"/>
      <c r="G607" s="43"/>
      <c r="H607" s="43"/>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c r="AS607" s="44"/>
      <c r="AT607" s="44"/>
      <c r="AU607" s="44"/>
      <c r="AV607" s="44"/>
      <c r="AW607" s="44"/>
      <c r="AX607" s="44"/>
      <c r="AY607" s="44"/>
      <c r="AZ607" s="44"/>
      <c r="BA607" s="44"/>
      <c r="BB607" s="44"/>
      <c r="BC607" s="44"/>
      <c r="BD607" s="44"/>
      <c r="BE607" s="44"/>
    </row>
    <row r="608">
      <c r="A608" s="42"/>
      <c r="B608" s="42"/>
      <c r="C608" s="43"/>
      <c r="D608" s="43"/>
      <c r="E608" s="42"/>
      <c r="F608" s="43"/>
      <c r="G608" s="43"/>
      <c r="H608" s="43"/>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44"/>
      <c r="AU608" s="44"/>
      <c r="AV608" s="44"/>
      <c r="AW608" s="44"/>
      <c r="AX608" s="44"/>
      <c r="AY608" s="44"/>
      <c r="AZ608" s="44"/>
      <c r="BA608" s="44"/>
      <c r="BB608" s="44"/>
      <c r="BC608" s="44"/>
      <c r="BD608" s="44"/>
      <c r="BE608" s="44"/>
    </row>
    <row r="609">
      <c r="A609" s="42"/>
      <c r="B609" s="42"/>
      <c r="C609" s="43"/>
      <c r="D609" s="43"/>
      <c r="E609" s="42"/>
      <c r="F609" s="43"/>
      <c r="G609" s="43"/>
      <c r="H609" s="43"/>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c r="AS609" s="44"/>
      <c r="AT609" s="44"/>
      <c r="AU609" s="44"/>
      <c r="AV609" s="44"/>
      <c r="AW609" s="44"/>
      <c r="AX609" s="44"/>
      <c r="AY609" s="44"/>
      <c r="AZ609" s="44"/>
      <c r="BA609" s="44"/>
      <c r="BB609" s="44"/>
      <c r="BC609" s="44"/>
      <c r="BD609" s="44"/>
      <c r="BE609" s="44"/>
    </row>
    <row r="610">
      <c r="A610" s="42"/>
      <c r="B610" s="42"/>
      <c r="C610" s="43"/>
      <c r="D610" s="43"/>
      <c r="E610" s="42"/>
      <c r="F610" s="43"/>
      <c r="G610" s="43"/>
      <c r="H610" s="43"/>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c r="AN610" s="44"/>
      <c r="AO610" s="44"/>
      <c r="AP610" s="44"/>
      <c r="AQ610" s="44"/>
      <c r="AR610" s="44"/>
      <c r="AS610" s="44"/>
      <c r="AT610" s="44"/>
      <c r="AU610" s="44"/>
      <c r="AV610" s="44"/>
      <c r="AW610" s="44"/>
      <c r="AX610" s="44"/>
      <c r="AY610" s="44"/>
      <c r="AZ610" s="44"/>
      <c r="BA610" s="44"/>
      <c r="BB610" s="44"/>
      <c r="BC610" s="44"/>
      <c r="BD610" s="44"/>
      <c r="BE610" s="44"/>
    </row>
    <row r="611">
      <c r="A611" s="42"/>
      <c r="B611" s="42"/>
      <c r="C611" s="43"/>
      <c r="D611" s="43"/>
      <c r="E611" s="42"/>
      <c r="F611" s="43"/>
      <c r="G611" s="43"/>
      <c r="H611" s="43"/>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c r="AS611" s="44"/>
      <c r="AT611" s="44"/>
      <c r="AU611" s="44"/>
      <c r="AV611" s="44"/>
      <c r="AW611" s="44"/>
      <c r="AX611" s="44"/>
      <c r="AY611" s="44"/>
      <c r="AZ611" s="44"/>
      <c r="BA611" s="44"/>
      <c r="BB611" s="44"/>
      <c r="BC611" s="44"/>
      <c r="BD611" s="44"/>
      <c r="BE611" s="44"/>
    </row>
    <row r="612">
      <c r="A612" s="42"/>
      <c r="B612" s="42"/>
      <c r="C612" s="43"/>
      <c r="D612" s="43"/>
      <c r="E612" s="42"/>
      <c r="F612" s="43"/>
      <c r="G612" s="43"/>
      <c r="H612" s="43"/>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44"/>
      <c r="AU612" s="44"/>
      <c r="AV612" s="44"/>
      <c r="AW612" s="44"/>
      <c r="AX612" s="44"/>
      <c r="AY612" s="44"/>
      <c r="AZ612" s="44"/>
      <c r="BA612" s="44"/>
      <c r="BB612" s="44"/>
      <c r="BC612" s="44"/>
      <c r="BD612" s="44"/>
      <c r="BE612" s="44"/>
    </row>
    <row r="613">
      <c r="A613" s="42"/>
      <c r="B613" s="42"/>
      <c r="C613" s="43"/>
      <c r="D613" s="43"/>
      <c r="E613" s="42"/>
      <c r="F613" s="43"/>
      <c r="G613" s="43"/>
      <c r="H613" s="43"/>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c r="AS613" s="44"/>
      <c r="AT613" s="44"/>
      <c r="AU613" s="44"/>
      <c r="AV613" s="44"/>
      <c r="AW613" s="44"/>
      <c r="AX613" s="44"/>
      <c r="AY613" s="44"/>
      <c r="AZ613" s="44"/>
      <c r="BA613" s="44"/>
      <c r="BB613" s="44"/>
      <c r="BC613" s="44"/>
      <c r="BD613" s="44"/>
      <c r="BE613" s="44"/>
    </row>
    <row r="614">
      <c r="A614" s="42"/>
      <c r="B614" s="42"/>
      <c r="C614" s="43"/>
      <c r="D614" s="43"/>
      <c r="E614" s="42"/>
      <c r="F614" s="43"/>
      <c r="G614" s="43"/>
      <c r="H614" s="43"/>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44"/>
      <c r="AU614" s="44"/>
      <c r="AV614" s="44"/>
      <c r="AW614" s="44"/>
      <c r="AX614" s="44"/>
      <c r="AY614" s="44"/>
      <c r="AZ614" s="44"/>
      <c r="BA614" s="44"/>
      <c r="BB614" s="44"/>
      <c r="BC614" s="44"/>
      <c r="BD614" s="44"/>
      <c r="BE614" s="44"/>
    </row>
    <row r="615">
      <c r="A615" s="42"/>
      <c r="B615" s="42"/>
      <c r="C615" s="43"/>
      <c r="D615" s="43"/>
      <c r="E615" s="42"/>
      <c r="F615" s="43"/>
      <c r="G615" s="43"/>
      <c r="H615" s="43"/>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c r="AN615" s="44"/>
      <c r="AO615" s="44"/>
      <c r="AP615" s="44"/>
      <c r="AQ615" s="44"/>
      <c r="AR615" s="44"/>
      <c r="AS615" s="44"/>
      <c r="AT615" s="44"/>
      <c r="AU615" s="44"/>
      <c r="AV615" s="44"/>
      <c r="AW615" s="44"/>
      <c r="AX615" s="44"/>
      <c r="AY615" s="44"/>
      <c r="AZ615" s="44"/>
      <c r="BA615" s="44"/>
      <c r="BB615" s="44"/>
      <c r="BC615" s="44"/>
      <c r="BD615" s="44"/>
      <c r="BE615" s="44"/>
    </row>
    <row r="616">
      <c r="A616" s="42"/>
      <c r="B616" s="42"/>
      <c r="C616" s="43"/>
      <c r="D616" s="43"/>
      <c r="E616" s="42"/>
      <c r="F616" s="43"/>
      <c r="G616" s="43"/>
      <c r="H616" s="43"/>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c r="AS616" s="44"/>
      <c r="AT616" s="44"/>
      <c r="AU616" s="44"/>
      <c r="AV616" s="44"/>
      <c r="AW616" s="44"/>
      <c r="AX616" s="44"/>
      <c r="AY616" s="44"/>
      <c r="AZ616" s="44"/>
      <c r="BA616" s="44"/>
      <c r="BB616" s="44"/>
      <c r="BC616" s="44"/>
      <c r="BD616" s="44"/>
      <c r="BE616" s="44"/>
    </row>
    <row r="617">
      <c r="A617" s="42"/>
      <c r="B617" s="42"/>
      <c r="C617" s="43"/>
      <c r="D617" s="43"/>
      <c r="E617" s="42"/>
      <c r="F617" s="43"/>
      <c r="G617" s="43"/>
      <c r="H617" s="43"/>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c r="AS617" s="44"/>
      <c r="AT617" s="44"/>
      <c r="AU617" s="44"/>
      <c r="AV617" s="44"/>
      <c r="AW617" s="44"/>
      <c r="AX617" s="44"/>
      <c r="AY617" s="44"/>
      <c r="AZ617" s="44"/>
      <c r="BA617" s="44"/>
      <c r="BB617" s="44"/>
      <c r="BC617" s="44"/>
      <c r="BD617" s="44"/>
      <c r="BE617" s="44"/>
    </row>
    <row r="618">
      <c r="A618" s="42"/>
      <c r="B618" s="42"/>
      <c r="C618" s="43"/>
      <c r="D618" s="43"/>
      <c r="E618" s="42"/>
      <c r="F618" s="43"/>
      <c r="G618" s="43"/>
      <c r="H618" s="43"/>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44"/>
      <c r="AU618" s="44"/>
      <c r="AV618" s="44"/>
      <c r="AW618" s="44"/>
      <c r="AX618" s="44"/>
      <c r="AY618" s="44"/>
      <c r="AZ618" s="44"/>
      <c r="BA618" s="44"/>
      <c r="BB618" s="44"/>
      <c r="BC618" s="44"/>
      <c r="BD618" s="44"/>
      <c r="BE618" s="44"/>
    </row>
    <row r="619">
      <c r="A619" s="42"/>
      <c r="B619" s="42"/>
      <c r="C619" s="43"/>
      <c r="D619" s="43"/>
      <c r="E619" s="42"/>
      <c r="F619" s="43"/>
      <c r="G619" s="43"/>
      <c r="H619" s="43"/>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c r="AS619" s="44"/>
      <c r="AT619" s="44"/>
      <c r="AU619" s="44"/>
      <c r="AV619" s="44"/>
      <c r="AW619" s="44"/>
      <c r="AX619" s="44"/>
      <c r="AY619" s="44"/>
      <c r="AZ619" s="44"/>
      <c r="BA619" s="44"/>
      <c r="BB619" s="44"/>
      <c r="BC619" s="44"/>
      <c r="BD619" s="44"/>
      <c r="BE619" s="44"/>
    </row>
    <row r="620">
      <c r="A620" s="42"/>
      <c r="B620" s="42"/>
      <c r="C620" s="43"/>
      <c r="D620" s="43"/>
      <c r="E620" s="42"/>
      <c r="F620" s="43"/>
      <c r="G620" s="43"/>
      <c r="H620" s="43"/>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44"/>
      <c r="AU620" s="44"/>
      <c r="AV620" s="44"/>
      <c r="AW620" s="44"/>
      <c r="AX620" s="44"/>
      <c r="AY620" s="44"/>
      <c r="AZ620" s="44"/>
      <c r="BA620" s="44"/>
      <c r="BB620" s="44"/>
      <c r="BC620" s="44"/>
      <c r="BD620" s="44"/>
      <c r="BE620" s="44"/>
    </row>
    <row r="621">
      <c r="A621" s="42"/>
      <c r="B621" s="42"/>
      <c r="C621" s="43"/>
      <c r="D621" s="43"/>
      <c r="E621" s="42"/>
      <c r="F621" s="43"/>
      <c r="G621" s="43"/>
      <c r="H621" s="43"/>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c r="AS621" s="44"/>
      <c r="AT621" s="44"/>
      <c r="AU621" s="44"/>
      <c r="AV621" s="44"/>
      <c r="AW621" s="44"/>
      <c r="AX621" s="44"/>
      <c r="AY621" s="44"/>
      <c r="AZ621" s="44"/>
      <c r="BA621" s="44"/>
      <c r="BB621" s="44"/>
      <c r="BC621" s="44"/>
      <c r="BD621" s="44"/>
      <c r="BE621" s="44"/>
    </row>
    <row r="622">
      <c r="A622" s="42"/>
      <c r="B622" s="42"/>
      <c r="C622" s="43"/>
      <c r="D622" s="43"/>
      <c r="E622" s="42"/>
      <c r="F622" s="43"/>
      <c r="G622" s="43"/>
      <c r="H622" s="43"/>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c r="AN622" s="44"/>
      <c r="AO622" s="44"/>
      <c r="AP622" s="44"/>
      <c r="AQ622" s="44"/>
      <c r="AR622" s="44"/>
      <c r="AS622" s="44"/>
      <c r="AT622" s="44"/>
      <c r="AU622" s="44"/>
      <c r="AV622" s="44"/>
      <c r="AW622" s="44"/>
      <c r="AX622" s="44"/>
      <c r="AY622" s="44"/>
      <c r="AZ622" s="44"/>
      <c r="BA622" s="44"/>
      <c r="BB622" s="44"/>
      <c r="BC622" s="44"/>
      <c r="BD622" s="44"/>
      <c r="BE622" s="44"/>
    </row>
    <row r="623">
      <c r="A623" s="42"/>
      <c r="B623" s="42"/>
      <c r="C623" s="43"/>
      <c r="D623" s="43"/>
      <c r="E623" s="42"/>
      <c r="F623" s="43"/>
      <c r="G623" s="43"/>
      <c r="H623" s="43"/>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c r="AS623" s="44"/>
      <c r="AT623" s="44"/>
      <c r="AU623" s="44"/>
      <c r="AV623" s="44"/>
      <c r="AW623" s="44"/>
      <c r="AX623" s="44"/>
      <c r="AY623" s="44"/>
      <c r="AZ623" s="44"/>
      <c r="BA623" s="44"/>
      <c r="BB623" s="44"/>
      <c r="BC623" s="44"/>
      <c r="BD623" s="44"/>
      <c r="BE623" s="44"/>
    </row>
    <row r="624">
      <c r="A624" s="42"/>
      <c r="B624" s="42"/>
      <c r="C624" s="43"/>
      <c r="D624" s="43"/>
      <c r="E624" s="42"/>
      <c r="F624" s="43"/>
      <c r="G624" s="43"/>
      <c r="H624" s="43"/>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44"/>
      <c r="AU624" s="44"/>
      <c r="AV624" s="44"/>
      <c r="AW624" s="44"/>
      <c r="AX624" s="44"/>
      <c r="AY624" s="44"/>
      <c r="AZ624" s="44"/>
      <c r="BA624" s="44"/>
      <c r="BB624" s="44"/>
      <c r="BC624" s="44"/>
      <c r="BD624" s="44"/>
      <c r="BE624" s="44"/>
    </row>
    <row r="625">
      <c r="A625" s="42"/>
      <c r="B625" s="42"/>
      <c r="C625" s="43"/>
      <c r="D625" s="43"/>
      <c r="E625" s="42"/>
      <c r="F625" s="43"/>
      <c r="G625" s="43"/>
      <c r="H625" s="43"/>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c r="AS625" s="44"/>
      <c r="AT625" s="44"/>
      <c r="AU625" s="44"/>
      <c r="AV625" s="44"/>
      <c r="AW625" s="44"/>
      <c r="AX625" s="44"/>
      <c r="AY625" s="44"/>
      <c r="AZ625" s="44"/>
      <c r="BA625" s="44"/>
      <c r="BB625" s="44"/>
      <c r="BC625" s="44"/>
      <c r="BD625" s="44"/>
      <c r="BE625" s="44"/>
    </row>
    <row r="626">
      <c r="A626" s="42"/>
      <c r="B626" s="42"/>
      <c r="C626" s="43"/>
      <c r="D626" s="43"/>
      <c r="E626" s="42"/>
      <c r="F626" s="43"/>
      <c r="G626" s="43"/>
      <c r="H626" s="43"/>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c r="AY626" s="44"/>
      <c r="AZ626" s="44"/>
      <c r="BA626" s="44"/>
      <c r="BB626" s="44"/>
      <c r="BC626" s="44"/>
      <c r="BD626" s="44"/>
      <c r="BE626" s="44"/>
    </row>
    <row r="627">
      <c r="A627" s="42"/>
      <c r="B627" s="42"/>
      <c r="C627" s="43"/>
      <c r="D627" s="43"/>
      <c r="E627" s="42"/>
      <c r="F627" s="43"/>
      <c r="G627" s="43"/>
      <c r="H627" s="43"/>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c r="AS627" s="44"/>
      <c r="AT627" s="44"/>
      <c r="AU627" s="44"/>
      <c r="AV627" s="44"/>
      <c r="AW627" s="44"/>
      <c r="AX627" s="44"/>
      <c r="AY627" s="44"/>
      <c r="AZ627" s="44"/>
      <c r="BA627" s="44"/>
      <c r="BB627" s="44"/>
      <c r="BC627" s="44"/>
      <c r="BD627" s="44"/>
      <c r="BE627" s="44"/>
    </row>
    <row r="628">
      <c r="A628" s="42"/>
      <c r="B628" s="42"/>
      <c r="C628" s="43"/>
      <c r="D628" s="43"/>
      <c r="E628" s="42"/>
      <c r="F628" s="43"/>
      <c r="G628" s="43"/>
      <c r="H628" s="43"/>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c r="AN628" s="44"/>
      <c r="AO628" s="44"/>
      <c r="AP628" s="44"/>
      <c r="AQ628" s="44"/>
      <c r="AR628" s="44"/>
      <c r="AS628" s="44"/>
      <c r="AT628" s="44"/>
      <c r="AU628" s="44"/>
      <c r="AV628" s="44"/>
      <c r="AW628" s="44"/>
      <c r="AX628" s="44"/>
      <c r="AY628" s="44"/>
      <c r="AZ628" s="44"/>
      <c r="BA628" s="44"/>
      <c r="BB628" s="44"/>
      <c r="BC628" s="44"/>
      <c r="BD628" s="44"/>
      <c r="BE628" s="44"/>
    </row>
    <row r="629">
      <c r="A629" s="42"/>
      <c r="B629" s="42"/>
      <c r="C629" s="43"/>
      <c r="D629" s="43"/>
      <c r="E629" s="42"/>
      <c r="F629" s="43"/>
      <c r="G629" s="43"/>
      <c r="H629" s="43"/>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c r="AN629" s="44"/>
      <c r="AO629" s="44"/>
      <c r="AP629" s="44"/>
      <c r="AQ629" s="44"/>
      <c r="AR629" s="44"/>
      <c r="AS629" s="44"/>
      <c r="AT629" s="44"/>
      <c r="AU629" s="44"/>
      <c r="AV629" s="44"/>
      <c r="AW629" s="44"/>
      <c r="AX629" s="44"/>
      <c r="AY629" s="44"/>
      <c r="AZ629" s="44"/>
      <c r="BA629" s="44"/>
      <c r="BB629" s="44"/>
      <c r="BC629" s="44"/>
      <c r="BD629" s="44"/>
      <c r="BE629" s="44"/>
    </row>
    <row r="630">
      <c r="A630" s="42"/>
      <c r="B630" s="42"/>
      <c r="C630" s="43"/>
      <c r="D630" s="43"/>
      <c r="E630" s="42"/>
      <c r="F630" s="43"/>
      <c r="G630" s="43"/>
      <c r="H630" s="43"/>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c r="AN630" s="44"/>
      <c r="AO630" s="44"/>
      <c r="AP630" s="44"/>
      <c r="AQ630" s="44"/>
      <c r="AR630" s="44"/>
      <c r="AS630" s="44"/>
      <c r="AT630" s="44"/>
      <c r="AU630" s="44"/>
      <c r="AV630" s="44"/>
      <c r="AW630" s="44"/>
      <c r="AX630" s="44"/>
      <c r="AY630" s="44"/>
      <c r="AZ630" s="44"/>
      <c r="BA630" s="44"/>
      <c r="BB630" s="44"/>
      <c r="BC630" s="44"/>
      <c r="BD630" s="44"/>
      <c r="BE630" s="44"/>
    </row>
    <row r="631">
      <c r="A631" s="42"/>
      <c r="B631" s="42"/>
      <c r="C631" s="43"/>
      <c r="D631" s="43"/>
      <c r="E631" s="42"/>
      <c r="F631" s="43"/>
      <c r="G631" s="43"/>
      <c r="H631" s="43"/>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c r="AN631" s="44"/>
      <c r="AO631" s="44"/>
      <c r="AP631" s="44"/>
      <c r="AQ631" s="44"/>
      <c r="AR631" s="44"/>
      <c r="AS631" s="44"/>
      <c r="AT631" s="44"/>
      <c r="AU631" s="44"/>
      <c r="AV631" s="44"/>
      <c r="AW631" s="44"/>
      <c r="AX631" s="44"/>
      <c r="AY631" s="44"/>
      <c r="AZ631" s="44"/>
      <c r="BA631" s="44"/>
      <c r="BB631" s="44"/>
      <c r="BC631" s="44"/>
      <c r="BD631" s="44"/>
      <c r="BE631" s="44"/>
    </row>
    <row r="632">
      <c r="A632" s="42"/>
      <c r="B632" s="42"/>
      <c r="C632" s="43"/>
      <c r="D632" s="43"/>
      <c r="E632" s="42"/>
      <c r="F632" s="43"/>
      <c r="G632" s="43"/>
      <c r="H632" s="43"/>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c r="AS632" s="44"/>
      <c r="AT632" s="44"/>
      <c r="AU632" s="44"/>
      <c r="AV632" s="44"/>
      <c r="AW632" s="44"/>
      <c r="AX632" s="44"/>
      <c r="AY632" s="44"/>
      <c r="AZ632" s="44"/>
      <c r="BA632" s="44"/>
      <c r="BB632" s="44"/>
      <c r="BC632" s="44"/>
      <c r="BD632" s="44"/>
      <c r="BE632" s="44"/>
    </row>
    <row r="633">
      <c r="A633" s="42"/>
      <c r="B633" s="42"/>
      <c r="C633" s="43"/>
      <c r="D633" s="43"/>
      <c r="E633" s="42"/>
      <c r="F633" s="43"/>
      <c r="G633" s="43"/>
      <c r="H633" s="43"/>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c r="AN633" s="44"/>
      <c r="AO633" s="44"/>
      <c r="AP633" s="44"/>
      <c r="AQ633" s="44"/>
      <c r="AR633" s="44"/>
      <c r="AS633" s="44"/>
      <c r="AT633" s="44"/>
      <c r="AU633" s="44"/>
      <c r="AV633" s="44"/>
      <c r="AW633" s="44"/>
      <c r="AX633" s="44"/>
      <c r="AY633" s="44"/>
      <c r="AZ633" s="44"/>
      <c r="BA633" s="44"/>
      <c r="BB633" s="44"/>
      <c r="BC633" s="44"/>
      <c r="BD633" s="44"/>
      <c r="BE633" s="44"/>
    </row>
    <row r="634">
      <c r="A634" s="42"/>
      <c r="B634" s="42"/>
      <c r="C634" s="43"/>
      <c r="D634" s="43"/>
      <c r="E634" s="42"/>
      <c r="F634" s="43"/>
      <c r="G634" s="43"/>
      <c r="H634" s="43"/>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c r="AN634" s="44"/>
      <c r="AO634" s="44"/>
      <c r="AP634" s="44"/>
      <c r="AQ634" s="44"/>
      <c r="AR634" s="44"/>
      <c r="AS634" s="44"/>
      <c r="AT634" s="44"/>
      <c r="AU634" s="44"/>
      <c r="AV634" s="44"/>
      <c r="AW634" s="44"/>
      <c r="AX634" s="44"/>
      <c r="AY634" s="44"/>
      <c r="AZ634" s="44"/>
      <c r="BA634" s="44"/>
      <c r="BB634" s="44"/>
      <c r="BC634" s="44"/>
      <c r="BD634" s="44"/>
      <c r="BE634" s="44"/>
    </row>
    <row r="635">
      <c r="A635" s="42"/>
      <c r="B635" s="42"/>
      <c r="C635" s="43"/>
      <c r="D635" s="43"/>
      <c r="E635" s="42"/>
      <c r="F635" s="43"/>
      <c r="G635" s="43"/>
      <c r="H635" s="43"/>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c r="AS635" s="44"/>
      <c r="AT635" s="44"/>
      <c r="AU635" s="44"/>
      <c r="AV635" s="44"/>
      <c r="AW635" s="44"/>
      <c r="AX635" s="44"/>
      <c r="AY635" s="44"/>
      <c r="AZ635" s="44"/>
      <c r="BA635" s="44"/>
      <c r="BB635" s="44"/>
      <c r="BC635" s="44"/>
      <c r="BD635" s="44"/>
      <c r="BE635" s="44"/>
    </row>
    <row r="636">
      <c r="A636" s="42"/>
      <c r="B636" s="42"/>
      <c r="C636" s="43"/>
      <c r="D636" s="43"/>
      <c r="E636" s="42"/>
      <c r="F636" s="43"/>
      <c r="G636" s="43"/>
      <c r="H636" s="43"/>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c r="AS636" s="44"/>
      <c r="AT636" s="44"/>
      <c r="AU636" s="44"/>
      <c r="AV636" s="44"/>
      <c r="AW636" s="44"/>
      <c r="AX636" s="44"/>
      <c r="AY636" s="44"/>
      <c r="AZ636" s="44"/>
      <c r="BA636" s="44"/>
      <c r="BB636" s="44"/>
      <c r="BC636" s="44"/>
      <c r="BD636" s="44"/>
      <c r="BE636" s="44"/>
    </row>
    <row r="637">
      <c r="A637" s="42"/>
      <c r="B637" s="42"/>
      <c r="C637" s="43"/>
      <c r="D637" s="43"/>
      <c r="E637" s="42"/>
      <c r="F637" s="43"/>
      <c r="G637" s="43"/>
      <c r="H637" s="43"/>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c r="AN637" s="44"/>
      <c r="AO637" s="44"/>
      <c r="AP637" s="44"/>
      <c r="AQ637" s="44"/>
      <c r="AR637" s="44"/>
      <c r="AS637" s="44"/>
      <c r="AT637" s="44"/>
      <c r="AU637" s="44"/>
      <c r="AV637" s="44"/>
      <c r="AW637" s="44"/>
      <c r="AX637" s="44"/>
      <c r="AY637" s="44"/>
      <c r="AZ637" s="44"/>
      <c r="BA637" s="44"/>
      <c r="BB637" s="44"/>
      <c r="BC637" s="44"/>
      <c r="BD637" s="44"/>
      <c r="BE637" s="44"/>
    </row>
    <row r="638">
      <c r="A638" s="42"/>
      <c r="B638" s="42"/>
      <c r="C638" s="43"/>
      <c r="D638" s="43"/>
      <c r="E638" s="42"/>
      <c r="F638" s="43"/>
      <c r="G638" s="43"/>
      <c r="H638" s="43"/>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c r="AS638" s="44"/>
      <c r="AT638" s="44"/>
      <c r="AU638" s="44"/>
      <c r="AV638" s="44"/>
      <c r="AW638" s="44"/>
      <c r="AX638" s="44"/>
      <c r="AY638" s="44"/>
      <c r="AZ638" s="44"/>
      <c r="BA638" s="44"/>
      <c r="BB638" s="44"/>
      <c r="BC638" s="44"/>
      <c r="BD638" s="44"/>
      <c r="BE638" s="44"/>
    </row>
    <row r="639">
      <c r="A639" s="42"/>
      <c r="B639" s="42"/>
      <c r="C639" s="43"/>
      <c r="D639" s="43"/>
      <c r="E639" s="42"/>
      <c r="F639" s="43"/>
      <c r="G639" s="43"/>
      <c r="H639" s="43"/>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c r="AN639" s="44"/>
      <c r="AO639" s="44"/>
      <c r="AP639" s="44"/>
      <c r="AQ639" s="44"/>
      <c r="AR639" s="44"/>
      <c r="AS639" s="44"/>
      <c r="AT639" s="44"/>
      <c r="AU639" s="44"/>
      <c r="AV639" s="44"/>
      <c r="AW639" s="44"/>
      <c r="AX639" s="44"/>
      <c r="AY639" s="44"/>
      <c r="AZ639" s="44"/>
      <c r="BA639" s="44"/>
      <c r="BB639" s="44"/>
      <c r="BC639" s="44"/>
      <c r="BD639" s="44"/>
      <c r="BE639" s="44"/>
    </row>
    <row r="640">
      <c r="A640" s="42"/>
      <c r="B640" s="42"/>
      <c r="C640" s="43"/>
      <c r="D640" s="43"/>
      <c r="E640" s="42"/>
      <c r="F640" s="43"/>
      <c r="G640" s="43"/>
      <c r="H640" s="43"/>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c r="AN640" s="44"/>
      <c r="AO640" s="44"/>
      <c r="AP640" s="44"/>
      <c r="AQ640" s="44"/>
      <c r="AR640" s="44"/>
      <c r="AS640" s="44"/>
      <c r="AT640" s="44"/>
      <c r="AU640" s="44"/>
      <c r="AV640" s="44"/>
      <c r="AW640" s="44"/>
      <c r="AX640" s="44"/>
      <c r="AY640" s="44"/>
      <c r="AZ640" s="44"/>
      <c r="BA640" s="44"/>
      <c r="BB640" s="44"/>
      <c r="BC640" s="44"/>
      <c r="BD640" s="44"/>
      <c r="BE640" s="44"/>
    </row>
    <row r="641">
      <c r="A641" s="42"/>
      <c r="B641" s="42"/>
      <c r="C641" s="43"/>
      <c r="D641" s="43"/>
      <c r="E641" s="42"/>
      <c r="F641" s="43"/>
      <c r="G641" s="43"/>
      <c r="H641" s="43"/>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c r="AS641" s="44"/>
      <c r="AT641" s="44"/>
      <c r="AU641" s="44"/>
      <c r="AV641" s="44"/>
      <c r="AW641" s="44"/>
      <c r="AX641" s="44"/>
      <c r="AY641" s="44"/>
      <c r="AZ641" s="44"/>
      <c r="BA641" s="44"/>
      <c r="BB641" s="44"/>
      <c r="BC641" s="44"/>
      <c r="BD641" s="44"/>
      <c r="BE641" s="44"/>
    </row>
    <row r="642">
      <c r="A642" s="42"/>
      <c r="B642" s="42"/>
      <c r="C642" s="43"/>
      <c r="D642" s="43"/>
      <c r="E642" s="42"/>
      <c r="F642" s="43"/>
      <c r="G642" s="43"/>
      <c r="H642" s="43"/>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c r="AG642" s="44"/>
      <c r="AH642" s="44"/>
      <c r="AI642" s="44"/>
      <c r="AJ642" s="44"/>
      <c r="AK642" s="44"/>
      <c r="AL642" s="44"/>
      <c r="AM642" s="44"/>
      <c r="AN642" s="44"/>
      <c r="AO642" s="44"/>
      <c r="AP642" s="44"/>
      <c r="AQ642" s="44"/>
      <c r="AR642" s="44"/>
      <c r="AS642" s="44"/>
      <c r="AT642" s="44"/>
      <c r="AU642" s="44"/>
      <c r="AV642" s="44"/>
      <c r="AW642" s="44"/>
      <c r="AX642" s="44"/>
      <c r="AY642" s="44"/>
      <c r="AZ642" s="44"/>
      <c r="BA642" s="44"/>
      <c r="BB642" s="44"/>
      <c r="BC642" s="44"/>
      <c r="BD642" s="44"/>
      <c r="BE642" s="44"/>
    </row>
    <row r="643">
      <c r="A643" s="42"/>
      <c r="B643" s="42"/>
      <c r="C643" s="43"/>
      <c r="D643" s="43"/>
      <c r="E643" s="42"/>
      <c r="F643" s="43"/>
      <c r="G643" s="43"/>
      <c r="H643" s="43"/>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c r="AG643" s="44"/>
      <c r="AH643" s="44"/>
      <c r="AI643" s="44"/>
      <c r="AJ643" s="44"/>
      <c r="AK643" s="44"/>
      <c r="AL643" s="44"/>
      <c r="AM643" s="44"/>
      <c r="AN643" s="44"/>
      <c r="AO643" s="44"/>
      <c r="AP643" s="44"/>
      <c r="AQ643" s="44"/>
      <c r="AR643" s="44"/>
      <c r="AS643" s="44"/>
      <c r="AT643" s="44"/>
      <c r="AU643" s="44"/>
      <c r="AV643" s="44"/>
      <c r="AW643" s="44"/>
      <c r="AX643" s="44"/>
      <c r="AY643" s="44"/>
      <c r="AZ643" s="44"/>
      <c r="BA643" s="44"/>
      <c r="BB643" s="44"/>
      <c r="BC643" s="44"/>
      <c r="BD643" s="44"/>
      <c r="BE643" s="44"/>
    </row>
    <row r="644">
      <c r="A644" s="42"/>
      <c r="B644" s="42"/>
      <c r="C644" s="43"/>
      <c r="D644" s="43"/>
      <c r="E644" s="42"/>
      <c r="F644" s="43"/>
      <c r="G644" s="43"/>
      <c r="H644" s="43"/>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c r="AN644" s="44"/>
      <c r="AO644" s="44"/>
      <c r="AP644" s="44"/>
      <c r="AQ644" s="44"/>
      <c r="AR644" s="44"/>
      <c r="AS644" s="44"/>
      <c r="AT644" s="44"/>
      <c r="AU644" s="44"/>
      <c r="AV644" s="44"/>
      <c r="AW644" s="44"/>
      <c r="AX644" s="44"/>
      <c r="AY644" s="44"/>
      <c r="AZ644" s="44"/>
      <c r="BA644" s="44"/>
      <c r="BB644" s="44"/>
      <c r="BC644" s="44"/>
      <c r="BD644" s="44"/>
      <c r="BE644" s="44"/>
    </row>
    <row r="645">
      <c r="A645" s="42"/>
      <c r="B645" s="42"/>
      <c r="C645" s="43"/>
      <c r="D645" s="43"/>
      <c r="E645" s="42"/>
      <c r="F645" s="43"/>
      <c r="G645" s="43"/>
      <c r="H645" s="43"/>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c r="AG645" s="44"/>
      <c r="AH645" s="44"/>
      <c r="AI645" s="44"/>
      <c r="AJ645" s="44"/>
      <c r="AK645" s="44"/>
      <c r="AL645" s="44"/>
      <c r="AM645" s="44"/>
      <c r="AN645" s="44"/>
      <c r="AO645" s="44"/>
      <c r="AP645" s="44"/>
      <c r="AQ645" s="44"/>
      <c r="AR645" s="44"/>
      <c r="AS645" s="44"/>
      <c r="AT645" s="44"/>
      <c r="AU645" s="44"/>
      <c r="AV645" s="44"/>
      <c r="AW645" s="44"/>
      <c r="AX645" s="44"/>
      <c r="AY645" s="44"/>
      <c r="AZ645" s="44"/>
      <c r="BA645" s="44"/>
      <c r="BB645" s="44"/>
      <c r="BC645" s="44"/>
      <c r="BD645" s="44"/>
      <c r="BE645" s="44"/>
    </row>
    <row r="646">
      <c r="A646" s="42"/>
      <c r="B646" s="42"/>
      <c r="C646" s="43"/>
      <c r="D646" s="43"/>
      <c r="E646" s="42"/>
      <c r="F646" s="43"/>
      <c r="G646" s="43"/>
      <c r="H646" s="43"/>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c r="AG646" s="44"/>
      <c r="AH646" s="44"/>
      <c r="AI646" s="44"/>
      <c r="AJ646" s="44"/>
      <c r="AK646" s="44"/>
      <c r="AL646" s="44"/>
      <c r="AM646" s="44"/>
      <c r="AN646" s="44"/>
      <c r="AO646" s="44"/>
      <c r="AP646" s="44"/>
      <c r="AQ646" s="44"/>
      <c r="AR646" s="44"/>
      <c r="AS646" s="44"/>
      <c r="AT646" s="44"/>
      <c r="AU646" s="44"/>
      <c r="AV646" s="44"/>
      <c r="AW646" s="44"/>
      <c r="AX646" s="44"/>
      <c r="AY646" s="44"/>
      <c r="AZ646" s="44"/>
      <c r="BA646" s="44"/>
      <c r="BB646" s="44"/>
      <c r="BC646" s="44"/>
      <c r="BD646" s="44"/>
      <c r="BE646" s="44"/>
    </row>
    <row r="647">
      <c r="A647" s="42"/>
      <c r="B647" s="42"/>
      <c r="C647" s="43"/>
      <c r="D647" s="43"/>
      <c r="E647" s="42"/>
      <c r="F647" s="43"/>
      <c r="G647" s="43"/>
      <c r="H647" s="43"/>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c r="AG647" s="44"/>
      <c r="AH647" s="44"/>
      <c r="AI647" s="44"/>
      <c r="AJ647" s="44"/>
      <c r="AK647" s="44"/>
      <c r="AL647" s="44"/>
      <c r="AM647" s="44"/>
      <c r="AN647" s="44"/>
      <c r="AO647" s="44"/>
      <c r="AP647" s="44"/>
      <c r="AQ647" s="44"/>
      <c r="AR647" s="44"/>
      <c r="AS647" s="44"/>
      <c r="AT647" s="44"/>
      <c r="AU647" s="44"/>
      <c r="AV647" s="44"/>
      <c r="AW647" s="44"/>
      <c r="AX647" s="44"/>
      <c r="AY647" s="44"/>
      <c r="AZ647" s="44"/>
      <c r="BA647" s="44"/>
      <c r="BB647" s="44"/>
      <c r="BC647" s="44"/>
      <c r="BD647" s="44"/>
      <c r="BE647" s="44"/>
    </row>
    <row r="648">
      <c r="A648" s="42"/>
      <c r="B648" s="42"/>
      <c r="C648" s="43"/>
      <c r="D648" s="43"/>
      <c r="E648" s="42"/>
      <c r="F648" s="43"/>
      <c r="G648" s="43"/>
      <c r="H648" s="43"/>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c r="AG648" s="44"/>
      <c r="AH648" s="44"/>
      <c r="AI648" s="44"/>
      <c r="AJ648" s="44"/>
      <c r="AK648" s="44"/>
      <c r="AL648" s="44"/>
      <c r="AM648" s="44"/>
      <c r="AN648" s="44"/>
      <c r="AO648" s="44"/>
      <c r="AP648" s="44"/>
      <c r="AQ648" s="44"/>
      <c r="AR648" s="44"/>
      <c r="AS648" s="44"/>
      <c r="AT648" s="44"/>
      <c r="AU648" s="44"/>
      <c r="AV648" s="44"/>
      <c r="AW648" s="44"/>
      <c r="AX648" s="44"/>
      <c r="AY648" s="44"/>
      <c r="AZ648" s="44"/>
      <c r="BA648" s="44"/>
      <c r="BB648" s="44"/>
      <c r="BC648" s="44"/>
      <c r="BD648" s="44"/>
      <c r="BE648" s="44"/>
    </row>
    <row r="649">
      <c r="A649" s="42"/>
      <c r="B649" s="42"/>
      <c r="C649" s="43"/>
      <c r="D649" s="43"/>
      <c r="E649" s="42"/>
      <c r="F649" s="43"/>
      <c r="G649" s="43"/>
      <c r="H649" s="43"/>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c r="AG649" s="44"/>
      <c r="AH649" s="44"/>
      <c r="AI649" s="44"/>
      <c r="AJ649" s="44"/>
      <c r="AK649" s="44"/>
      <c r="AL649" s="44"/>
      <c r="AM649" s="44"/>
      <c r="AN649" s="44"/>
      <c r="AO649" s="44"/>
      <c r="AP649" s="44"/>
      <c r="AQ649" s="44"/>
      <c r="AR649" s="44"/>
      <c r="AS649" s="44"/>
      <c r="AT649" s="44"/>
      <c r="AU649" s="44"/>
      <c r="AV649" s="44"/>
      <c r="AW649" s="44"/>
      <c r="AX649" s="44"/>
      <c r="AY649" s="44"/>
      <c r="AZ649" s="44"/>
      <c r="BA649" s="44"/>
      <c r="BB649" s="44"/>
      <c r="BC649" s="44"/>
      <c r="BD649" s="44"/>
      <c r="BE649" s="44"/>
    </row>
    <row r="650">
      <c r="A650" s="42"/>
      <c r="B650" s="42"/>
      <c r="C650" s="43"/>
      <c r="D650" s="43"/>
      <c r="E650" s="42"/>
      <c r="F650" s="43"/>
      <c r="G650" s="43"/>
      <c r="H650" s="43"/>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c r="AG650" s="44"/>
      <c r="AH650" s="44"/>
      <c r="AI650" s="44"/>
      <c r="AJ650" s="44"/>
      <c r="AK650" s="44"/>
      <c r="AL650" s="44"/>
      <c r="AM650" s="44"/>
      <c r="AN650" s="44"/>
      <c r="AO650" s="44"/>
      <c r="AP650" s="44"/>
      <c r="AQ650" s="44"/>
      <c r="AR650" s="44"/>
      <c r="AS650" s="44"/>
      <c r="AT650" s="44"/>
      <c r="AU650" s="44"/>
      <c r="AV650" s="44"/>
      <c r="AW650" s="44"/>
      <c r="AX650" s="44"/>
      <c r="AY650" s="44"/>
      <c r="AZ650" s="44"/>
      <c r="BA650" s="44"/>
      <c r="BB650" s="44"/>
      <c r="BC650" s="44"/>
      <c r="BD650" s="44"/>
      <c r="BE650" s="44"/>
    </row>
    <row r="651">
      <c r="A651" s="42"/>
      <c r="B651" s="42"/>
      <c r="C651" s="43"/>
      <c r="D651" s="43"/>
      <c r="E651" s="42"/>
      <c r="F651" s="43"/>
      <c r="G651" s="43"/>
      <c r="H651" s="43"/>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c r="AN651" s="44"/>
      <c r="AO651" s="44"/>
      <c r="AP651" s="44"/>
      <c r="AQ651" s="44"/>
      <c r="AR651" s="44"/>
      <c r="AS651" s="44"/>
      <c r="AT651" s="44"/>
      <c r="AU651" s="44"/>
      <c r="AV651" s="44"/>
      <c r="AW651" s="44"/>
      <c r="AX651" s="44"/>
      <c r="AY651" s="44"/>
      <c r="AZ651" s="44"/>
      <c r="BA651" s="44"/>
      <c r="BB651" s="44"/>
      <c r="BC651" s="44"/>
      <c r="BD651" s="44"/>
      <c r="BE651" s="44"/>
    </row>
    <row r="652">
      <c r="A652" s="42"/>
      <c r="B652" s="42"/>
      <c r="C652" s="43"/>
      <c r="D652" s="43"/>
      <c r="E652" s="42"/>
      <c r="F652" s="43"/>
      <c r="G652" s="43"/>
      <c r="H652" s="43"/>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c r="AN652" s="44"/>
      <c r="AO652" s="44"/>
      <c r="AP652" s="44"/>
      <c r="AQ652" s="44"/>
      <c r="AR652" s="44"/>
      <c r="AS652" s="44"/>
      <c r="AT652" s="44"/>
      <c r="AU652" s="44"/>
      <c r="AV652" s="44"/>
      <c r="AW652" s="44"/>
      <c r="AX652" s="44"/>
      <c r="AY652" s="44"/>
      <c r="AZ652" s="44"/>
      <c r="BA652" s="44"/>
      <c r="BB652" s="44"/>
      <c r="BC652" s="44"/>
      <c r="BD652" s="44"/>
      <c r="BE652" s="44"/>
    </row>
    <row r="653">
      <c r="A653" s="42"/>
      <c r="B653" s="42"/>
      <c r="C653" s="43"/>
      <c r="D653" s="43"/>
      <c r="E653" s="42"/>
      <c r="F653" s="43"/>
      <c r="G653" s="43"/>
      <c r="H653" s="43"/>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4"/>
      <c r="AM653" s="44"/>
      <c r="AN653" s="44"/>
      <c r="AO653" s="44"/>
      <c r="AP653" s="44"/>
      <c r="AQ653" s="44"/>
      <c r="AR653" s="44"/>
      <c r="AS653" s="44"/>
      <c r="AT653" s="44"/>
      <c r="AU653" s="44"/>
      <c r="AV653" s="44"/>
      <c r="AW653" s="44"/>
      <c r="AX653" s="44"/>
      <c r="AY653" s="44"/>
      <c r="AZ653" s="44"/>
      <c r="BA653" s="44"/>
      <c r="BB653" s="44"/>
      <c r="BC653" s="44"/>
      <c r="BD653" s="44"/>
      <c r="BE653" s="44"/>
    </row>
    <row r="654">
      <c r="A654" s="42"/>
      <c r="B654" s="42"/>
      <c r="C654" s="43"/>
      <c r="D654" s="43"/>
      <c r="E654" s="42"/>
      <c r="F654" s="43"/>
      <c r="G654" s="43"/>
      <c r="H654" s="43"/>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c r="AG654" s="44"/>
      <c r="AH654" s="44"/>
      <c r="AI654" s="44"/>
      <c r="AJ654" s="44"/>
      <c r="AK654" s="44"/>
      <c r="AL654" s="44"/>
      <c r="AM654" s="44"/>
      <c r="AN654" s="44"/>
      <c r="AO654" s="44"/>
      <c r="AP654" s="44"/>
      <c r="AQ654" s="44"/>
      <c r="AR654" s="44"/>
      <c r="AS654" s="44"/>
      <c r="AT654" s="44"/>
      <c r="AU654" s="44"/>
      <c r="AV654" s="44"/>
      <c r="AW654" s="44"/>
      <c r="AX654" s="44"/>
      <c r="AY654" s="44"/>
      <c r="AZ654" s="44"/>
      <c r="BA654" s="44"/>
      <c r="BB654" s="44"/>
      <c r="BC654" s="44"/>
      <c r="BD654" s="44"/>
      <c r="BE654" s="44"/>
    </row>
    <row r="655">
      <c r="A655" s="42"/>
      <c r="B655" s="42"/>
      <c r="C655" s="43"/>
      <c r="D655" s="43"/>
      <c r="E655" s="42"/>
      <c r="F655" s="43"/>
      <c r="G655" s="43"/>
      <c r="H655" s="43"/>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c r="AG655" s="44"/>
      <c r="AH655" s="44"/>
      <c r="AI655" s="44"/>
      <c r="AJ655" s="44"/>
      <c r="AK655" s="44"/>
      <c r="AL655" s="44"/>
      <c r="AM655" s="44"/>
      <c r="AN655" s="44"/>
      <c r="AO655" s="44"/>
      <c r="AP655" s="44"/>
      <c r="AQ655" s="44"/>
      <c r="AR655" s="44"/>
      <c r="AS655" s="44"/>
      <c r="AT655" s="44"/>
      <c r="AU655" s="44"/>
      <c r="AV655" s="44"/>
      <c r="AW655" s="44"/>
      <c r="AX655" s="44"/>
      <c r="AY655" s="44"/>
      <c r="AZ655" s="44"/>
      <c r="BA655" s="44"/>
      <c r="BB655" s="44"/>
      <c r="BC655" s="44"/>
      <c r="BD655" s="44"/>
      <c r="BE655" s="44"/>
    </row>
    <row r="656">
      <c r="A656" s="42"/>
      <c r="B656" s="42"/>
      <c r="C656" s="43"/>
      <c r="D656" s="43"/>
      <c r="E656" s="42"/>
      <c r="F656" s="43"/>
      <c r="G656" s="43"/>
      <c r="H656" s="43"/>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c r="AG656" s="44"/>
      <c r="AH656" s="44"/>
      <c r="AI656" s="44"/>
      <c r="AJ656" s="44"/>
      <c r="AK656" s="44"/>
      <c r="AL656" s="44"/>
      <c r="AM656" s="44"/>
      <c r="AN656" s="44"/>
      <c r="AO656" s="44"/>
      <c r="AP656" s="44"/>
      <c r="AQ656" s="44"/>
      <c r="AR656" s="44"/>
      <c r="AS656" s="44"/>
      <c r="AT656" s="44"/>
      <c r="AU656" s="44"/>
      <c r="AV656" s="44"/>
      <c r="AW656" s="44"/>
      <c r="AX656" s="44"/>
      <c r="AY656" s="44"/>
      <c r="AZ656" s="44"/>
      <c r="BA656" s="44"/>
      <c r="BB656" s="44"/>
      <c r="BC656" s="44"/>
      <c r="BD656" s="44"/>
      <c r="BE656" s="44"/>
    </row>
    <row r="657">
      <c r="A657" s="42"/>
      <c r="B657" s="42"/>
      <c r="C657" s="43"/>
      <c r="D657" s="43"/>
      <c r="E657" s="42"/>
      <c r="F657" s="43"/>
      <c r="G657" s="43"/>
      <c r="H657" s="43"/>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c r="AG657" s="44"/>
      <c r="AH657" s="44"/>
      <c r="AI657" s="44"/>
      <c r="AJ657" s="44"/>
      <c r="AK657" s="44"/>
      <c r="AL657" s="44"/>
      <c r="AM657" s="44"/>
      <c r="AN657" s="44"/>
      <c r="AO657" s="44"/>
      <c r="AP657" s="44"/>
      <c r="AQ657" s="44"/>
      <c r="AR657" s="44"/>
      <c r="AS657" s="44"/>
      <c r="AT657" s="44"/>
      <c r="AU657" s="44"/>
      <c r="AV657" s="44"/>
      <c r="AW657" s="44"/>
      <c r="AX657" s="44"/>
      <c r="AY657" s="44"/>
      <c r="AZ657" s="44"/>
      <c r="BA657" s="44"/>
      <c r="BB657" s="44"/>
      <c r="BC657" s="44"/>
      <c r="BD657" s="44"/>
      <c r="BE657" s="44"/>
    </row>
    <row r="658">
      <c r="A658" s="42"/>
      <c r="B658" s="42"/>
      <c r="C658" s="43"/>
      <c r="D658" s="43"/>
      <c r="E658" s="42"/>
      <c r="F658" s="43"/>
      <c r="G658" s="43"/>
      <c r="H658" s="43"/>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c r="AR658" s="44"/>
      <c r="AS658" s="44"/>
      <c r="AT658" s="44"/>
      <c r="AU658" s="44"/>
      <c r="AV658" s="44"/>
      <c r="AW658" s="44"/>
      <c r="AX658" s="44"/>
      <c r="AY658" s="44"/>
      <c r="AZ658" s="44"/>
      <c r="BA658" s="44"/>
      <c r="BB658" s="44"/>
      <c r="BC658" s="44"/>
      <c r="BD658" s="44"/>
      <c r="BE658" s="44"/>
    </row>
    <row r="659">
      <c r="A659" s="42"/>
      <c r="B659" s="42"/>
      <c r="C659" s="43"/>
      <c r="D659" s="43"/>
      <c r="E659" s="42"/>
      <c r="F659" s="43"/>
      <c r="G659" s="43"/>
      <c r="H659" s="43"/>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c r="AS659" s="44"/>
      <c r="AT659" s="44"/>
      <c r="AU659" s="44"/>
      <c r="AV659" s="44"/>
      <c r="AW659" s="44"/>
      <c r="AX659" s="44"/>
      <c r="AY659" s="44"/>
      <c r="AZ659" s="44"/>
      <c r="BA659" s="44"/>
      <c r="BB659" s="44"/>
      <c r="BC659" s="44"/>
      <c r="BD659" s="44"/>
      <c r="BE659" s="44"/>
    </row>
    <row r="660">
      <c r="A660" s="42"/>
      <c r="B660" s="42"/>
      <c r="C660" s="43"/>
      <c r="D660" s="43"/>
      <c r="E660" s="42"/>
      <c r="F660" s="43"/>
      <c r="G660" s="43"/>
      <c r="H660" s="43"/>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c r="AS660" s="44"/>
      <c r="AT660" s="44"/>
      <c r="AU660" s="44"/>
      <c r="AV660" s="44"/>
      <c r="AW660" s="44"/>
      <c r="AX660" s="44"/>
      <c r="AY660" s="44"/>
      <c r="AZ660" s="44"/>
      <c r="BA660" s="44"/>
      <c r="BB660" s="44"/>
      <c r="BC660" s="44"/>
      <c r="BD660" s="44"/>
      <c r="BE660" s="44"/>
    </row>
    <row r="661">
      <c r="A661" s="42"/>
      <c r="B661" s="42"/>
      <c r="C661" s="43"/>
      <c r="D661" s="43"/>
      <c r="E661" s="42"/>
      <c r="F661" s="43"/>
      <c r="G661" s="43"/>
      <c r="H661" s="43"/>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c r="AY661" s="44"/>
      <c r="AZ661" s="44"/>
      <c r="BA661" s="44"/>
      <c r="BB661" s="44"/>
      <c r="BC661" s="44"/>
      <c r="BD661" s="44"/>
      <c r="BE661" s="44"/>
    </row>
    <row r="662">
      <c r="A662" s="42"/>
      <c r="B662" s="42"/>
      <c r="C662" s="43"/>
      <c r="D662" s="43"/>
      <c r="E662" s="42"/>
      <c r="F662" s="43"/>
      <c r="G662" s="43"/>
      <c r="H662" s="43"/>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c r="AG662" s="44"/>
      <c r="AH662" s="44"/>
      <c r="AI662" s="44"/>
      <c r="AJ662" s="44"/>
      <c r="AK662" s="44"/>
      <c r="AL662" s="44"/>
      <c r="AM662" s="44"/>
      <c r="AN662" s="44"/>
      <c r="AO662" s="44"/>
      <c r="AP662" s="44"/>
      <c r="AQ662" s="44"/>
      <c r="AR662" s="44"/>
      <c r="AS662" s="44"/>
      <c r="AT662" s="44"/>
      <c r="AU662" s="44"/>
      <c r="AV662" s="44"/>
      <c r="AW662" s="44"/>
      <c r="AX662" s="44"/>
      <c r="AY662" s="44"/>
      <c r="AZ662" s="44"/>
      <c r="BA662" s="44"/>
      <c r="BB662" s="44"/>
      <c r="BC662" s="44"/>
      <c r="BD662" s="44"/>
      <c r="BE662" s="44"/>
    </row>
    <row r="663">
      <c r="A663" s="42"/>
      <c r="B663" s="42"/>
      <c r="C663" s="43"/>
      <c r="D663" s="43"/>
      <c r="E663" s="42"/>
      <c r="F663" s="43"/>
      <c r="G663" s="43"/>
      <c r="H663" s="43"/>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c r="AN663" s="44"/>
      <c r="AO663" s="44"/>
      <c r="AP663" s="44"/>
      <c r="AQ663" s="44"/>
      <c r="AR663" s="44"/>
      <c r="AS663" s="44"/>
      <c r="AT663" s="44"/>
      <c r="AU663" s="44"/>
      <c r="AV663" s="44"/>
      <c r="AW663" s="44"/>
      <c r="AX663" s="44"/>
      <c r="AY663" s="44"/>
      <c r="AZ663" s="44"/>
      <c r="BA663" s="44"/>
      <c r="BB663" s="44"/>
      <c r="BC663" s="44"/>
      <c r="BD663" s="44"/>
      <c r="BE663" s="44"/>
    </row>
    <row r="664">
      <c r="A664" s="42"/>
      <c r="B664" s="42"/>
      <c r="C664" s="43"/>
      <c r="D664" s="43"/>
      <c r="E664" s="42"/>
      <c r="F664" s="43"/>
      <c r="G664" s="43"/>
      <c r="H664" s="43"/>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c r="AN664" s="44"/>
      <c r="AO664" s="44"/>
      <c r="AP664" s="44"/>
      <c r="AQ664" s="44"/>
      <c r="AR664" s="44"/>
      <c r="AS664" s="44"/>
      <c r="AT664" s="44"/>
      <c r="AU664" s="44"/>
      <c r="AV664" s="44"/>
      <c r="AW664" s="44"/>
      <c r="AX664" s="44"/>
      <c r="AY664" s="44"/>
      <c r="AZ664" s="44"/>
      <c r="BA664" s="44"/>
      <c r="BB664" s="44"/>
      <c r="BC664" s="44"/>
      <c r="BD664" s="44"/>
      <c r="BE664" s="44"/>
    </row>
    <row r="665">
      <c r="A665" s="42"/>
      <c r="B665" s="42"/>
      <c r="C665" s="43"/>
      <c r="D665" s="43"/>
      <c r="E665" s="42"/>
      <c r="F665" s="43"/>
      <c r="G665" s="43"/>
      <c r="H665" s="43"/>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c r="AG665" s="44"/>
      <c r="AH665" s="44"/>
      <c r="AI665" s="44"/>
      <c r="AJ665" s="44"/>
      <c r="AK665" s="44"/>
      <c r="AL665" s="44"/>
      <c r="AM665" s="44"/>
      <c r="AN665" s="44"/>
      <c r="AO665" s="44"/>
      <c r="AP665" s="44"/>
      <c r="AQ665" s="44"/>
      <c r="AR665" s="44"/>
      <c r="AS665" s="44"/>
      <c r="AT665" s="44"/>
      <c r="AU665" s="44"/>
      <c r="AV665" s="44"/>
      <c r="AW665" s="44"/>
      <c r="AX665" s="44"/>
      <c r="AY665" s="44"/>
      <c r="AZ665" s="44"/>
      <c r="BA665" s="44"/>
      <c r="BB665" s="44"/>
      <c r="BC665" s="44"/>
      <c r="BD665" s="44"/>
      <c r="BE665" s="44"/>
    </row>
    <row r="666">
      <c r="A666" s="42"/>
      <c r="B666" s="42"/>
      <c r="C666" s="43"/>
      <c r="D666" s="43"/>
      <c r="E666" s="42"/>
      <c r="F666" s="43"/>
      <c r="G666" s="43"/>
      <c r="H666" s="43"/>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c r="AG666" s="44"/>
      <c r="AH666" s="44"/>
      <c r="AI666" s="44"/>
      <c r="AJ666" s="44"/>
      <c r="AK666" s="44"/>
      <c r="AL666" s="44"/>
      <c r="AM666" s="44"/>
      <c r="AN666" s="44"/>
      <c r="AO666" s="44"/>
      <c r="AP666" s="44"/>
      <c r="AQ666" s="44"/>
      <c r="AR666" s="44"/>
      <c r="AS666" s="44"/>
      <c r="AT666" s="44"/>
      <c r="AU666" s="44"/>
      <c r="AV666" s="44"/>
      <c r="AW666" s="44"/>
      <c r="AX666" s="44"/>
      <c r="AY666" s="44"/>
      <c r="AZ666" s="44"/>
      <c r="BA666" s="44"/>
      <c r="BB666" s="44"/>
      <c r="BC666" s="44"/>
      <c r="BD666" s="44"/>
      <c r="BE666" s="44"/>
    </row>
    <row r="667">
      <c r="A667" s="42"/>
      <c r="B667" s="42"/>
      <c r="C667" s="43"/>
      <c r="D667" s="43"/>
      <c r="E667" s="42"/>
      <c r="F667" s="43"/>
      <c r="G667" s="43"/>
      <c r="H667" s="43"/>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c r="AR667" s="44"/>
      <c r="AS667" s="44"/>
      <c r="AT667" s="44"/>
      <c r="AU667" s="44"/>
      <c r="AV667" s="44"/>
      <c r="AW667" s="44"/>
      <c r="AX667" s="44"/>
      <c r="AY667" s="44"/>
      <c r="AZ667" s="44"/>
      <c r="BA667" s="44"/>
      <c r="BB667" s="44"/>
      <c r="BC667" s="44"/>
      <c r="BD667" s="44"/>
      <c r="BE667" s="44"/>
    </row>
    <row r="668">
      <c r="A668" s="42"/>
      <c r="B668" s="42"/>
      <c r="C668" s="43"/>
      <c r="D668" s="43"/>
      <c r="E668" s="42"/>
      <c r="F668" s="43"/>
      <c r="G668" s="43"/>
      <c r="H668" s="43"/>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c r="AG668" s="44"/>
      <c r="AH668" s="44"/>
      <c r="AI668" s="44"/>
      <c r="AJ668" s="44"/>
      <c r="AK668" s="44"/>
      <c r="AL668" s="44"/>
      <c r="AM668" s="44"/>
      <c r="AN668" s="44"/>
      <c r="AO668" s="44"/>
      <c r="AP668" s="44"/>
      <c r="AQ668" s="44"/>
      <c r="AR668" s="44"/>
      <c r="AS668" s="44"/>
      <c r="AT668" s="44"/>
      <c r="AU668" s="44"/>
      <c r="AV668" s="44"/>
      <c r="AW668" s="44"/>
      <c r="AX668" s="44"/>
      <c r="AY668" s="44"/>
      <c r="AZ668" s="44"/>
      <c r="BA668" s="44"/>
      <c r="BB668" s="44"/>
      <c r="BC668" s="44"/>
      <c r="BD668" s="44"/>
      <c r="BE668" s="44"/>
    </row>
    <row r="669">
      <c r="A669" s="42"/>
      <c r="B669" s="42"/>
      <c r="C669" s="43"/>
      <c r="D669" s="43"/>
      <c r="E669" s="42"/>
      <c r="F669" s="43"/>
      <c r="G669" s="43"/>
      <c r="H669" s="43"/>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c r="AH669" s="44"/>
      <c r="AI669" s="44"/>
      <c r="AJ669" s="44"/>
      <c r="AK669" s="44"/>
      <c r="AL669" s="44"/>
      <c r="AM669" s="44"/>
      <c r="AN669" s="44"/>
      <c r="AO669" s="44"/>
      <c r="AP669" s="44"/>
      <c r="AQ669" s="44"/>
      <c r="AR669" s="44"/>
      <c r="AS669" s="44"/>
      <c r="AT669" s="44"/>
      <c r="AU669" s="44"/>
      <c r="AV669" s="44"/>
      <c r="AW669" s="44"/>
      <c r="AX669" s="44"/>
      <c r="AY669" s="44"/>
      <c r="AZ669" s="44"/>
      <c r="BA669" s="44"/>
      <c r="BB669" s="44"/>
      <c r="BC669" s="44"/>
      <c r="BD669" s="44"/>
      <c r="BE669" s="44"/>
    </row>
    <row r="670">
      <c r="A670" s="42"/>
      <c r="B670" s="42"/>
      <c r="C670" s="43"/>
      <c r="D670" s="43"/>
      <c r="E670" s="42"/>
      <c r="F670" s="43"/>
      <c r="G670" s="43"/>
      <c r="H670" s="43"/>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c r="AN670" s="44"/>
      <c r="AO670" s="44"/>
      <c r="AP670" s="44"/>
      <c r="AQ670" s="44"/>
      <c r="AR670" s="44"/>
      <c r="AS670" s="44"/>
      <c r="AT670" s="44"/>
      <c r="AU670" s="44"/>
      <c r="AV670" s="44"/>
      <c r="AW670" s="44"/>
      <c r="AX670" s="44"/>
      <c r="AY670" s="44"/>
      <c r="AZ670" s="44"/>
      <c r="BA670" s="44"/>
      <c r="BB670" s="44"/>
      <c r="BC670" s="44"/>
      <c r="BD670" s="44"/>
      <c r="BE670" s="44"/>
    </row>
    <row r="671">
      <c r="A671" s="42"/>
      <c r="B671" s="42"/>
      <c r="C671" s="43"/>
      <c r="D671" s="43"/>
      <c r="E671" s="42"/>
      <c r="F671" s="43"/>
      <c r="G671" s="43"/>
      <c r="H671" s="43"/>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c r="AG671" s="44"/>
      <c r="AH671" s="44"/>
      <c r="AI671" s="44"/>
      <c r="AJ671" s="44"/>
      <c r="AK671" s="44"/>
      <c r="AL671" s="44"/>
      <c r="AM671" s="44"/>
      <c r="AN671" s="44"/>
      <c r="AO671" s="44"/>
      <c r="AP671" s="44"/>
      <c r="AQ671" s="44"/>
      <c r="AR671" s="44"/>
      <c r="AS671" s="44"/>
      <c r="AT671" s="44"/>
      <c r="AU671" s="44"/>
      <c r="AV671" s="44"/>
      <c r="AW671" s="44"/>
      <c r="AX671" s="44"/>
      <c r="AY671" s="44"/>
      <c r="AZ671" s="44"/>
      <c r="BA671" s="44"/>
      <c r="BB671" s="44"/>
      <c r="BC671" s="44"/>
      <c r="BD671" s="44"/>
      <c r="BE671" s="44"/>
    </row>
    <row r="672">
      <c r="A672" s="42"/>
      <c r="B672" s="42"/>
      <c r="C672" s="43"/>
      <c r="D672" s="43"/>
      <c r="E672" s="42"/>
      <c r="F672" s="43"/>
      <c r="G672" s="43"/>
      <c r="H672" s="43"/>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c r="AN672" s="44"/>
      <c r="AO672" s="44"/>
      <c r="AP672" s="44"/>
      <c r="AQ672" s="44"/>
      <c r="AR672" s="44"/>
      <c r="AS672" s="44"/>
      <c r="AT672" s="44"/>
      <c r="AU672" s="44"/>
      <c r="AV672" s="44"/>
      <c r="AW672" s="44"/>
      <c r="AX672" s="44"/>
      <c r="AY672" s="44"/>
      <c r="AZ672" s="44"/>
      <c r="BA672" s="44"/>
      <c r="BB672" s="44"/>
      <c r="BC672" s="44"/>
      <c r="BD672" s="44"/>
      <c r="BE672" s="44"/>
    </row>
    <row r="673">
      <c r="A673" s="42"/>
      <c r="B673" s="42"/>
      <c r="C673" s="43"/>
      <c r="D673" s="43"/>
      <c r="E673" s="42"/>
      <c r="F673" s="43"/>
      <c r="G673" s="43"/>
      <c r="H673" s="43"/>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c r="AN673" s="44"/>
      <c r="AO673" s="44"/>
      <c r="AP673" s="44"/>
      <c r="AQ673" s="44"/>
      <c r="AR673" s="44"/>
      <c r="AS673" s="44"/>
      <c r="AT673" s="44"/>
      <c r="AU673" s="44"/>
      <c r="AV673" s="44"/>
      <c r="AW673" s="44"/>
      <c r="AX673" s="44"/>
      <c r="AY673" s="44"/>
      <c r="AZ673" s="44"/>
      <c r="BA673" s="44"/>
      <c r="BB673" s="44"/>
      <c r="BC673" s="44"/>
      <c r="BD673" s="44"/>
      <c r="BE673" s="44"/>
    </row>
    <row r="674">
      <c r="A674" s="42"/>
      <c r="B674" s="42"/>
      <c r="C674" s="43"/>
      <c r="D674" s="43"/>
      <c r="E674" s="42"/>
      <c r="F674" s="43"/>
      <c r="G674" s="43"/>
      <c r="H674" s="43"/>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c r="AG674" s="44"/>
      <c r="AH674" s="44"/>
      <c r="AI674" s="44"/>
      <c r="AJ674" s="44"/>
      <c r="AK674" s="44"/>
      <c r="AL674" s="44"/>
      <c r="AM674" s="44"/>
      <c r="AN674" s="44"/>
      <c r="AO674" s="44"/>
      <c r="AP674" s="44"/>
      <c r="AQ674" s="44"/>
      <c r="AR674" s="44"/>
      <c r="AS674" s="44"/>
      <c r="AT674" s="44"/>
      <c r="AU674" s="44"/>
      <c r="AV674" s="44"/>
      <c r="AW674" s="44"/>
      <c r="AX674" s="44"/>
      <c r="AY674" s="44"/>
      <c r="AZ674" s="44"/>
      <c r="BA674" s="44"/>
      <c r="BB674" s="44"/>
      <c r="BC674" s="44"/>
      <c r="BD674" s="44"/>
      <c r="BE674" s="44"/>
    </row>
    <row r="675">
      <c r="A675" s="42"/>
      <c r="B675" s="42"/>
      <c r="C675" s="43"/>
      <c r="D675" s="43"/>
      <c r="E675" s="42"/>
      <c r="F675" s="43"/>
      <c r="G675" s="43"/>
      <c r="H675" s="43"/>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c r="AG675" s="44"/>
      <c r="AH675" s="44"/>
      <c r="AI675" s="44"/>
      <c r="AJ675" s="44"/>
      <c r="AK675" s="44"/>
      <c r="AL675" s="44"/>
      <c r="AM675" s="44"/>
      <c r="AN675" s="44"/>
      <c r="AO675" s="44"/>
      <c r="AP675" s="44"/>
      <c r="AQ675" s="44"/>
      <c r="AR675" s="44"/>
      <c r="AS675" s="44"/>
      <c r="AT675" s="44"/>
      <c r="AU675" s="44"/>
      <c r="AV675" s="44"/>
      <c r="AW675" s="44"/>
      <c r="AX675" s="44"/>
      <c r="AY675" s="44"/>
      <c r="AZ675" s="44"/>
      <c r="BA675" s="44"/>
      <c r="BB675" s="44"/>
      <c r="BC675" s="44"/>
      <c r="BD675" s="44"/>
      <c r="BE675" s="44"/>
    </row>
    <row r="676">
      <c r="A676" s="42"/>
      <c r="B676" s="42"/>
      <c r="C676" s="43"/>
      <c r="D676" s="43"/>
      <c r="E676" s="42"/>
      <c r="F676" s="43"/>
      <c r="G676" s="43"/>
      <c r="H676" s="43"/>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c r="AG676" s="44"/>
      <c r="AH676" s="44"/>
      <c r="AI676" s="44"/>
      <c r="AJ676" s="44"/>
      <c r="AK676" s="44"/>
      <c r="AL676" s="44"/>
      <c r="AM676" s="44"/>
      <c r="AN676" s="44"/>
      <c r="AO676" s="44"/>
      <c r="AP676" s="44"/>
      <c r="AQ676" s="44"/>
      <c r="AR676" s="44"/>
      <c r="AS676" s="44"/>
      <c r="AT676" s="44"/>
      <c r="AU676" s="44"/>
      <c r="AV676" s="44"/>
      <c r="AW676" s="44"/>
      <c r="AX676" s="44"/>
      <c r="AY676" s="44"/>
      <c r="AZ676" s="44"/>
      <c r="BA676" s="44"/>
      <c r="BB676" s="44"/>
      <c r="BC676" s="44"/>
      <c r="BD676" s="44"/>
      <c r="BE676" s="44"/>
    </row>
    <row r="677">
      <c r="A677" s="42"/>
      <c r="B677" s="42"/>
      <c r="C677" s="43"/>
      <c r="D677" s="43"/>
      <c r="E677" s="42"/>
      <c r="F677" s="43"/>
      <c r="G677" s="43"/>
      <c r="H677" s="43"/>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c r="AN677" s="44"/>
      <c r="AO677" s="44"/>
      <c r="AP677" s="44"/>
      <c r="AQ677" s="44"/>
      <c r="AR677" s="44"/>
      <c r="AS677" s="44"/>
      <c r="AT677" s="44"/>
      <c r="AU677" s="44"/>
      <c r="AV677" s="44"/>
      <c r="AW677" s="44"/>
      <c r="AX677" s="44"/>
      <c r="AY677" s="44"/>
      <c r="AZ677" s="44"/>
      <c r="BA677" s="44"/>
      <c r="BB677" s="44"/>
      <c r="BC677" s="44"/>
      <c r="BD677" s="44"/>
      <c r="BE677" s="44"/>
    </row>
    <row r="678">
      <c r="A678" s="42"/>
      <c r="B678" s="42"/>
      <c r="C678" s="43"/>
      <c r="D678" s="43"/>
      <c r="E678" s="42"/>
      <c r="F678" s="43"/>
      <c r="G678" s="43"/>
      <c r="H678" s="43"/>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c r="AR678" s="44"/>
      <c r="AS678" s="44"/>
      <c r="AT678" s="44"/>
      <c r="AU678" s="44"/>
      <c r="AV678" s="44"/>
      <c r="AW678" s="44"/>
      <c r="AX678" s="44"/>
      <c r="AY678" s="44"/>
      <c r="AZ678" s="44"/>
      <c r="BA678" s="44"/>
      <c r="BB678" s="44"/>
      <c r="BC678" s="44"/>
      <c r="BD678" s="44"/>
      <c r="BE678" s="44"/>
    </row>
    <row r="679">
      <c r="A679" s="42"/>
      <c r="B679" s="42"/>
      <c r="C679" s="43"/>
      <c r="D679" s="43"/>
      <c r="E679" s="42"/>
      <c r="F679" s="43"/>
      <c r="G679" s="43"/>
      <c r="H679" s="43"/>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c r="AN679" s="44"/>
      <c r="AO679" s="44"/>
      <c r="AP679" s="44"/>
      <c r="AQ679" s="44"/>
      <c r="AR679" s="44"/>
      <c r="AS679" s="44"/>
      <c r="AT679" s="44"/>
      <c r="AU679" s="44"/>
      <c r="AV679" s="44"/>
      <c r="AW679" s="44"/>
      <c r="AX679" s="44"/>
      <c r="AY679" s="44"/>
      <c r="AZ679" s="44"/>
      <c r="BA679" s="44"/>
      <c r="BB679" s="44"/>
      <c r="BC679" s="44"/>
      <c r="BD679" s="44"/>
      <c r="BE679" s="44"/>
    </row>
    <row r="680">
      <c r="A680" s="42"/>
      <c r="B680" s="42"/>
      <c r="C680" s="43"/>
      <c r="D680" s="43"/>
      <c r="E680" s="42"/>
      <c r="F680" s="43"/>
      <c r="G680" s="43"/>
      <c r="H680" s="43"/>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c r="AG680" s="44"/>
      <c r="AH680" s="44"/>
      <c r="AI680" s="44"/>
      <c r="AJ680" s="44"/>
      <c r="AK680" s="44"/>
      <c r="AL680" s="44"/>
      <c r="AM680" s="44"/>
      <c r="AN680" s="44"/>
      <c r="AO680" s="44"/>
      <c r="AP680" s="44"/>
      <c r="AQ680" s="44"/>
      <c r="AR680" s="44"/>
      <c r="AS680" s="44"/>
      <c r="AT680" s="44"/>
      <c r="AU680" s="44"/>
      <c r="AV680" s="44"/>
      <c r="AW680" s="44"/>
      <c r="AX680" s="44"/>
      <c r="AY680" s="44"/>
      <c r="AZ680" s="44"/>
      <c r="BA680" s="44"/>
      <c r="BB680" s="44"/>
      <c r="BC680" s="44"/>
      <c r="BD680" s="44"/>
      <c r="BE680" s="44"/>
    </row>
    <row r="681">
      <c r="A681" s="42"/>
      <c r="B681" s="42"/>
      <c r="C681" s="43"/>
      <c r="D681" s="43"/>
      <c r="E681" s="42"/>
      <c r="F681" s="43"/>
      <c r="G681" s="43"/>
      <c r="H681" s="43"/>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c r="AG681" s="44"/>
      <c r="AH681" s="44"/>
      <c r="AI681" s="44"/>
      <c r="AJ681" s="44"/>
      <c r="AK681" s="44"/>
      <c r="AL681" s="44"/>
      <c r="AM681" s="44"/>
      <c r="AN681" s="44"/>
      <c r="AO681" s="44"/>
      <c r="AP681" s="44"/>
      <c r="AQ681" s="44"/>
      <c r="AR681" s="44"/>
      <c r="AS681" s="44"/>
      <c r="AT681" s="44"/>
      <c r="AU681" s="44"/>
      <c r="AV681" s="44"/>
      <c r="AW681" s="44"/>
      <c r="AX681" s="44"/>
      <c r="AY681" s="44"/>
      <c r="AZ681" s="44"/>
      <c r="BA681" s="44"/>
      <c r="BB681" s="44"/>
      <c r="BC681" s="44"/>
      <c r="BD681" s="44"/>
      <c r="BE681" s="44"/>
    </row>
    <row r="682">
      <c r="A682" s="42"/>
      <c r="B682" s="42"/>
      <c r="C682" s="43"/>
      <c r="D682" s="43"/>
      <c r="E682" s="42"/>
      <c r="F682" s="43"/>
      <c r="G682" s="43"/>
      <c r="H682" s="43"/>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c r="AG682" s="44"/>
      <c r="AH682" s="44"/>
      <c r="AI682" s="44"/>
      <c r="AJ682" s="44"/>
      <c r="AK682" s="44"/>
      <c r="AL682" s="44"/>
      <c r="AM682" s="44"/>
      <c r="AN682" s="44"/>
      <c r="AO682" s="44"/>
      <c r="AP682" s="44"/>
      <c r="AQ682" s="44"/>
      <c r="AR682" s="44"/>
      <c r="AS682" s="44"/>
      <c r="AT682" s="44"/>
      <c r="AU682" s="44"/>
      <c r="AV682" s="44"/>
      <c r="AW682" s="44"/>
      <c r="AX682" s="44"/>
      <c r="AY682" s="44"/>
      <c r="AZ682" s="44"/>
      <c r="BA682" s="44"/>
      <c r="BB682" s="44"/>
      <c r="BC682" s="44"/>
      <c r="BD682" s="44"/>
      <c r="BE682" s="44"/>
    </row>
    <row r="683">
      <c r="A683" s="42"/>
      <c r="B683" s="42"/>
      <c r="C683" s="43"/>
      <c r="D683" s="43"/>
      <c r="E683" s="42"/>
      <c r="F683" s="43"/>
      <c r="G683" s="43"/>
      <c r="H683" s="43"/>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c r="AG683" s="44"/>
      <c r="AH683" s="44"/>
      <c r="AI683" s="44"/>
      <c r="AJ683" s="44"/>
      <c r="AK683" s="44"/>
      <c r="AL683" s="44"/>
      <c r="AM683" s="44"/>
      <c r="AN683" s="44"/>
      <c r="AO683" s="44"/>
      <c r="AP683" s="44"/>
      <c r="AQ683" s="44"/>
      <c r="AR683" s="44"/>
      <c r="AS683" s="44"/>
      <c r="AT683" s="44"/>
      <c r="AU683" s="44"/>
      <c r="AV683" s="44"/>
      <c r="AW683" s="44"/>
      <c r="AX683" s="44"/>
      <c r="AY683" s="44"/>
      <c r="AZ683" s="44"/>
      <c r="BA683" s="44"/>
      <c r="BB683" s="44"/>
      <c r="BC683" s="44"/>
      <c r="BD683" s="44"/>
      <c r="BE683" s="44"/>
    </row>
    <row r="684">
      <c r="A684" s="42"/>
      <c r="B684" s="42"/>
      <c r="C684" s="43"/>
      <c r="D684" s="43"/>
      <c r="E684" s="42"/>
      <c r="F684" s="43"/>
      <c r="G684" s="43"/>
      <c r="H684" s="43"/>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c r="AG684" s="44"/>
      <c r="AH684" s="44"/>
      <c r="AI684" s="44"/>
      <c r="AJ684" s="44"/>
      <c r="AK684" s="44"/>
      <c r="AL684" s="44"/>
      <c r="AM684" s="44"/>
      <c r="AN684" s="44"/>
      <c r="AO684" s="44"/>
      <c r="AP684" s="44"/>
      <c r="AQ684" s="44"/>
      <c r="AR684" s="44"/>
      <c r="AS684" s="44"/>
      <c r="AT684" s="44"/>
      <c r="AU684" s="44"/>
      <c r="AV684" s="44"/>
      <c r="AW684" s="44"/>
      <c r="AX684" s="44"/>
      <c r="AY684" s="44"/>
      <c r="AZ684" s="44"/>
      <c r="BA684" s="44"/>
      <c r="BB684" s="44"/>
      <c r="BC684" s="44"/>
      <c r="BD684" s="44"/>
      <c r="BE684" s="44"/>
    </row>
    <row r="685">
      <c r="A685" s="42"/>
      <c r="B685" s="42"/>
      <c r="C685" s="43"/>
      <c r="D685" s="43"/>
      <c r="E685" s="42"/>
      <c r="F685" s="43"/>
      <c r="G685" s="43"/>
      <c r="H685" s="43"/>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c r="AN685" s="44"/>
      <c r="AO685" s="44"/>
      <c r="AP685" s="44"/>
      <c r="AQ685" s="44"/>
      <c r="AR685" s="44"/>
      <c r="AS685" s="44"/>
      <c r="AT685" s="44"/>
      <c r="AU685" s="44"/>
      <c r="AV685" s="44"/>
      <c r="AW685" s="44"/>
      <c r="AX685" s="44"/>
      <c r="AY685" s="44"/>
      <c r="AZ685" s="44"/>
      <c r="BA685" s="44"/>
      <c r="BB685" s="44"/>
      <c r="BC685" s="44"/>
      <c r="BD685" s="44"/>
      <c r="BE685" s="44"/>
    </row>
    <row r="686">
      <c r="A686" s="42"/>
      <c r="B686" s="42"/>
      <c r="C686" s="43"/>
      <c r="D686" s="43"/>
      <c r="E686" s="42"/>
      <c r="F686" s="43"/>
      <c r="G686" s="43"/>
      <c r="H686" s="43"/>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c r="AN686" s="44"/>
      <c r="AO686" s="44"/>
      <c r="AP686" s="44"/>
      <c r="AQ686" s="44"/>
      <c r="AR686" s="44"/>
      <c r="AS686" s="44"/>
      <c r="AT686" s="44"/>
      <c r="AU686" s="44"/>
      <c r="AV686" s="44"/>
      <c r="AW686" s="44"/>
      <c r="AX686" s="44"/>
      <c r="AY686" s="44"/>
      <c r="AZ686" s="44"/>
      <c r="BA686" s="44"/>
      <c r="BB686" s="44"/>
      <c r="BC686" s="44"/>
      <c r="BD686" s="44"/>
      <c r="BE686" s="44"/>
    </row>
    <row r="687">
      <c r="A687" s="42"/>
      <c r="B687" s="42"/>
      <c r="C687" s="43"/>
      <c r="D687" s="43"/>
      <c r="E687" s="42"/>
      <c r="F687" s="43"/>
      <c r="G687" s="43"/>
      <c r="H687" s="43"/>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c r="AG687" s="44"/>
      <c r="AH687" s="44"/>
      <c r="AI687" s="44"/>
      <c r="AJ687" s="44"/>
      <c r="AK687" s="44"/>
      <c r="AL687" s="44"/>
      <c r="AM687" s="44"/>
      <c r="AN687" s="44"/>
      <c r="AO687" s="44"/>
      <c r="AP687" s="44"/>
      <c r="AQ687" s="44"/>
      <c r="AR687" s="44"/>
      <c r="AS687" s="44"/>
      <c r="AT687" s="44"/>
      <c r="AU687" s="44"/>
      <c r="AV687" s="44"/>
      <c r="AW687" s="44"/>
      <c r="AX687" s="44"/>
      <c r="AY687" s="44"/>
      <c r="AZ687" s="44"/>
      <c r="BA687" s="44"/>
      <c r="BB687" s="44"/>
      <c r="BC687" s="44"/>
      <c r="BD687" s="44"/>
      <c r="BE687" s="44"/>
    </row>
    <row r="688">
      <c r="A688" s="42"/>
      <c r="B688" s="42"/>
      <c r="C688" s="43"/>
      <c r="D688" s="43"/>
      <c r="E688" s="42"/>
      <c r="F688" s="43"/>
      <c r="G688" s="43"/>
      <c r="H688" s="43"/>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c r="AN688" s="44"/>
      <c r="AO688" s="44"/>
      <c r="AP688" s="44"/>
      <c r="AQ688" s="44"/>
      <c r="AR688" s="44"/>
      <c r="AS688" s="44"/>
      <c r="AT688" s="44"/>
      <c r="AU688" s="44"/>
      <c r="AV688" s="44"/>
      <c r="AW688" s="44"/>
      <c r="AX688" s="44"/>
      <c r="AY688" s="44"/>
      <c r="AZ688" s="44"/>
      <c r="BA688" s="44"/>
      <c r="BB688" s="44"/>
      <c r="BC688" s="44"/>
      <c r="BD688" s="44"/>
      <c r="BE688" s="44"/>
    </row>
    <row r="689">
      <c r="A689" s="42"/>
      <c r="B689" s="42"/>
      <c r="C689" s="43"/>
      <c r="D689" s="43"/>
      <c r="E689" s="42"/>
      <c r="F689" s="43"/>
      <c r="G689" s="43"/>
      <c r="H689" s="43"/>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c r="AG689" s="44"/>
      <c r="AH689" s="44"/>
      <c r="AI689" s="44"/>
      <c r="AJ689" s="44"/>
      <c r="AK689" s="44"/>
      <c r="AL689" s="44"/>
      <c r="AM689" s="44"/>
      <c r="AN689" s="44"/>
      <c r="AO689" s="44"/>
      <c r="AP689" s="44"/>
      <c r="AQ689" s="44"/>
      <c r="AR689" s="44"/>
      <c r="AS689" s="44"/>
      <c r="AT689" s="44"/>
      <c r="AU689" s="44"/>
      <c r="AV689" s="44"/>
      <c r="AW689" s="44"/>
      <c r="AX689" s="44"/>
      <c r="AY689" s="44"/>
      <c r="AZ689" s="44"/>
      <c r="BA689" s="44"/>
      <c r="BB689" s="44"/>
      <c r="BC689" s="44"/>
      <c r="BD689" s="44"/>
      <c r="BE689" s="44"/>
    </row>
    <row r="690">
      <c r="A690" s="42"/>
      <c r="B690" s="42"/>
      <c r="C690" s="43"/>
      <c r="D690" s="43"/>
      <c r="E690" s="42"/>
      <c r="F690" s="43"/>
      <c r="G690" s="43"/>
      <c r="H690" s="43"/>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c r="AG690" s="44"/>
      <c r="AH690" s="44"/>
      <c r="AI690" s="44"/>
      <c r="AJ690" s="44"/>
      <c r="AK690" s="44"/>
      <c r="AL690" s="44"/>
      <c r="AM690" s="44"/>
      <c r="AN690" s="44"/>
      <c r="AO690" s="44"/>
      <c r="AP690" s="44"/>
      <c r="AQ690" s="44"/>
      <c r="AR690" s="44"/>
      <c r="AS690" s="44"/>
      <c r="AT690" s="44"/>
      <c r="AU690" s="44"/>
      <c r="AV690" s="44"/>
      <c r="AW690" s="44"/>
      <c r="AX690" s="44"/>
      <c r="AY690" s="44"/>
      <c r="AZ690" s="44"/>
      <c r="BA690" s="44"/>
      <c r="BB690" s="44"/>
      <c r="BC690" s="44"/>
      <c r="BD690" s="44"/>
      <c r="BE690" s="44"/>
    </row>
    <row r="691">
      <c r="A691" s="42"/>
      <c r="B691" s="42"/>
      <c r="C691" s="43"/>
      <c r="D691" s="43"/>
      <c r="E691" s="42"/>
      <c r="F691" s="43"/>
      <c r="G691" s="43"/>
      <c r="H691" s="43"/>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c r="AN691" s="44"/>
      <c r="AO691" s="44"/>
      <c r="AP691" s="44"/>
      <c r="AQ691" s="44"/>
      <c r="AR691" s="44"/>
      <c r="AS691" s="44"/>
      <c r="AT691" s="44"/>
      <c r="AU691" s="44"/>
      <c r="AV691" s="44"/>
      <c r="AW691" s="44"/>
      <c r="AX691" s="44"/>
      <c r="AY691" s="44"/>
      <c r="AZ691" s="44"/>
      <c r="BA691" s="44"/>
      <c r="BB691" s="44"/>
      <c r="BC691" s="44"/>
      <c r="BD691" s="44"/>
      <c r="BE691" s="44"/>
    </row>
    <row r="692">
      <c r="A692" s="42"/>
      <c r="B692" s="42"/>
      <c r="C692" s="43"/>
      <c r="D692" s="43"/>
      <c r="E692" s="42"/>
      <c r="F692" s="43"/>
      <c r="G692" s="43"/>
      <c r="H692" s="43"/>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c r="AG692" s="44"/>
      <c r="AH692" s="44"/>
      <c r="AI692" s="44"/>
      <c r="AJ692" s="44"/>
      <c r="AK692" s="44"/>
      <c r="AL692" s="44"/>
      <c r="AM692" s="44"/>
      <c r="AN692" s="44"/>
      <c r="AO692" s="44"/>
      <c r="AP692" s="44"/>
      <c r="AQ692" s="44"/>
      <c r="AR692" s="44"/>
      <c r="AS692" s="44"/>
      <c r="AT692" s="44"/>
      <c r="AU692" s="44"/>
      <c r="AV692" s="44"/>
      <c r="AW692" s="44"/>
      <c r="AX692" s="44"/>
      <c r="AY692" s="44"/>
      <c r="AZ692" s="44"/>
      <c r="BA692" s="44"/>
      <c r="BB692" s="44"/>
      <c r="BC692" s="44"/>
      <c r="BD692" s="44"/>
      <c r="BE692" s="44"/>
    </row>
    <row r="693">
      <c r="A693" s="42"/>
      <c r="B693" s="42"/>
      <c r="C693" s="43"/>
      <c r="D693" s="43"/>
      <c r="E693" s="42"/>
      <c r="F693" s="43"/>
      <c r="G693" s="43"/>
      <c r="H693" s="43"/>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c r="AG693" s="44"/>
      <c r="AH693" s="44"/>
      <c r="AI693" s="44"/>
      <c r="AJ693" s="44"/>
      <c r="AK693" s="44"/>
      <c r="AL693" s="44"/>
      <c r="AM693" s="44"/>
      <c r="AN693" s="44"/>
      <c r="AO693" s="44"/>
      <c r="AP693" s="44"/>
      <c r="AQ693" s="44"/>
      <c r="AR693" s="44"/>
      <c r="AS693" s="44"/>
      <c r="AT693" s="44"/>
      <c r="AU693" s="44"/>
      <c r="AV693" s="44"/>
      <c r="AW693" s="44"/>
      <c r="AX693" s="44"/>
      <c r="AY693" s="44"/>
      <c r="AZ693" s="44"/>
      <c r="BA693" s="44"/>
      <c r="BB693" s="44"/>
      <c r="BC693" s="44"/>
      <c r="BD693" s="44"/>
      <c r="BE693" s="44"/>
    </row>
    <row r="694">
      <c r="A694" s="42"/>
      <c r="B694" s="42"/>
      <c r="C694" s="43"/>
      <c r="D694" s="43"/>
      <c r="E694" s="42"/>
      <c r="F694" s="43"/>
      <c r="G694" s="43"/>
      <c r="H694" s="43"/>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c r="AG694" s="44"/>
      <c r="AH694" s="44"/>
      <c r="AI694" s="44"/>
      <c r="AJ694" s="44"/>
      <c r="AK694" s="44"/>
      <c r="AL694" s="44"/>
      <c r="AM694" s="44"/>
      <c r="AN694" s="44"/>
      <c r="AO694" s="44"/>
      <c r="AP694" s="44"/>
      <c r="AQ694" s="44"/>
      <c r="AR694" s="44"/>
      <c r="AS694" s="44"/>
      <c r="AT694" s="44"/>
      <c r="AU694" s="44"/>
      <c r="AV694" s="44"/>
      <c r="AW694" s="44"/>
      <c r="AX694" s="44"/>
      <c r="AY694" s="44"/>
      <c r="AZ694" s="44"/>
      <c r="BA694" s="44"/>
      <c r="BB694" s="44"/>
      <c r="BC694" s="44"/>
      <c r="BD694" s="44"/>
      <c r="BE694" s="44"/>
    </row>
    <row r="695">
      <c r="A695" s="42"/>
      <c r="B695" s="42"/>
      <c r="C695" s="43"/>
      <c r="D695" s="43"/>
      <c r="E695" s="42"/>
      <c r="F695" s="43"/>
      <c r="G695" s="43"/>
      <c r="H695" s="43"/>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c r="AG695" s="44"/>
      <c r="AH695" s="44"/>
      <c r="AI695" s="44"/>
      <c r="AJ695" s="44"/>
      <c r="AK695" s="44"/>
      <c r="AL695" s="44"/>
      <c r="AM695" s="44"/>
      <c r="AN695" s="44"/>
      <c r="AO695" s="44"/>
      <c r="AP695" s="44"/>
      <c r="AQ695" s="44"/>
      <c r="AR695" s="44"/>
      <c r="AS695" s="44"/>
      <c r="AT695" s="44"/>
      <c r="AU695" s="44"/>
      <c r="AV695" s="44"/>
      <c r="AW695" s="44"/>
      <c r="AX695" s="44"/>
      <c r="AY695" s="44"/>
      <c r="AZ695" s="44"/>
      <c r="BA695" s="44"/>
      <c r="BB695" s="44"/>
      <c r="BC695" s="44"/>
      <c r="BD695" s="44"/>
      <c r="BE695" s="44"/>
    </row>
    <row r="696">
      <c r="A696" s="42"/>
      <c r="B696" s="42"/>
      <c r="C696" s="43"/>
      <c r="D696" s="43"/>
      <c r="E696" s="42"/>
      <c r="F696" s="43"/>
      <c r="G696" s="43"/>
      <c r="H696" s="43"/>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c r="AG696" s="44"/>
      <c r="AH696" s="44"/>
      <c r="AI696" s="44"/>
      <c r="AJ696" s="44"/>
      <c r="AK696" s="44"/>
      <c r="AL696" s="44"/>
      <c r="AM696" s="44"/>
      <c r="AN696" s="44"/>
      <c r="AO696" s="44"/>
      <c r="AP696" s="44"/>
      <c r="AQ696" s="44"/>
      <c r="AR696" s="44"/>
      <c r="AS696" s="44"/>
      <c r="AT696" s="44"/>
      <c r="AU696" s="44"/>
      <c r="AV696" s="44"/>
      <c r="AW696" s="44"/>
      <c r="AX696" s="44"/>
      <c r="AY696" s="44"/>
      <c r="AZ696" s="44"/>
      <c r="BA696" s="44"/>
      <c r="BB696" s="44"/>
      <c r="BC696" s="44"/>
      <c r="BD696" s="44"/>
      <c r="BE696" s="44"/>
    </row>
    <row r="697">
      <c r="A697" s="42"/>
      <c r="B697" s="42"/>
      <c r="C697" s="43"/>
      <c r="D697" s="43"/>
      <c r="E697" s="42"/>
      <c r="F697" s="43"/>
      <c r="G697" s="43"/>
      <c r="H697" s="43"/>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c r="AN697" s="44"/>
      <c r="AO697" s="44"/>
      <c r="AP697" s="44"/>
      <c r="AQ697" s="44"/>
      <c r="AR697" s="44"/>
      <c r="AS697" s="44"/>
      <c r="AT697" s="44"/>
      <c r="AU697" s="44"/>
      <c r="AV697" s="44"/>
      <c r="AW697" s="44"/>
      <c r="AX697" s="44"/>
      <c r="AY697" s="44"/>
      <c r="AZ697" s="44"/>
      <c r="BA697" s="44"/>
      <c r="BB697" s="44"/>
      <c r="BC697" s="44"/>
      <c r="BD697" s="44"/>
      <c r="BE697" s="44"/>
    </row>
    <row r="698">
      <c r="A698" s="42"/>
      <c r="B698" s="42"/>
      <c r="C698" s="43"/>
      <c r="D698" s="43"/>
      <c r="E698" s="42"/>
      <c r="F698" s="43"/>
      <c r="G698" s="43"/>
      <c r="H698" s="43"/>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c r="AN698" s="44"/>
      <c r="AO698" s="44"/>
      <c r="AP698" s="44"/>
      <c r="AQ698" s="44"/>
      <c r="AR698" s="44"/>
      <c r="AS698" s="44"/>
      <c r="AT698" s="44"/>
      <c r="AU698" s="44"/>
      <c r="AV698" s="44"/>
      <c r="AW698" s="44"/>
      <c r="AX698" s="44"/>
      <c r="AY698" s="44"/>
      <c r="AZ698" s="44"/>
      <c r="BA698" s="44"/>
      <c r="BB698" s="44"/>
      <c r="BC698" s="44"/>
      <c r="BD698" s="44"/>
      <c r="BE698" s="44"/>
    </row>
    <row r="699">
      <c r="A699" s="42"/>
      <c r="B699" s="42"/>
      <c r="C699" s="43"/>
      <c r="D699" s="43"/>
      <c r="E699" s="42"/>
      <c r="F699" s="43"/>
      <c r="G699" s="43"/>
      <c r="H699" s="43"/>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c r="AG699" s="44"/>
      <c r="AH699" s="44"/>
      <c r="AI699" s="44"/>
      <c r="AJ699" s="44"/>
      <c r="AK699" s="44"/>
      <c r="AL699" s="44"/>
      <c r="AM699" s="44"/>
      <c r="AN699" s="44"/>
      <c r="AO699" s="44"/>
      <c r="AP699" s="44"/>
      <c r="AQ699" s="44"/>
      <c r="AR699" s="44"/>
      <c r="AS699" s="44"/>
      <c r="AT699" s="44"/>
      <c r="AU699" s="44"/>
      <c r="AV699" s="44"/>
      <c r="AW699" s="44"/>
      <c r="AX699" s="44"/>
      <c r="AY699" s="44"/>
      <c r="AZ699" s="44"/>
      <c r="BA699" s="44"/>
      <c r="BB699" s="44"/>
      <c r="BC699" s="44"/>
      <c r="BD699" s="44"/>
      <c r="BE699" s="44"/>
    </row>
    <row r="700">
      <c r="A700" s="42"/>
      <c r="B700" s="42"/>
      <c r="C700" s="43"/>
      <c r="D700" s="43"/>
      <c r="E700" s="42"/>
      <c r="F700" s="43"/>
      <c r="G700" s="43"/>
      <c r="H700" s="43"/>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c r="AG700" s="44"/>
      <c r="AH700" s="44"/>
      <c r="AI700" s="44"/>
      <c r="AJ700" s="44"/>
      <c r="AK700" s="44"/>
      <c r="AL700" s="44"/>
      <c r="AM700" s="44"/>
      <c r="AN700" s="44"/>
      <c r="AO700" s="44"/>
      <c r="AP700" s="44"/>
      <c r="AQ700" s="44"/>
      <c r="AR700" s="44"/>
      <c r="AS700" s="44"/>
      <c r="AT700" s="44"/>
      <c r="AU700" s="44"/>
      <c r="AV700" s="44"/>
      <c r="AW700" s="44"/>
      <c r="AX700" s="44"/>
      <c r="AY700" s="44"/>
      <c r="AZ700" s="44"/>
      <c r="BA700" s="44"/>
      <c r="BB700" s="44"/>
      <c r="BC700" s="44"/>
      <c r="BD700" s="44"/>
      <c r="BE700" s="44"/>
    </row>
    <row r="701">
      <c r="A701" s="42"/>
      <c r="B701" s="42"/>
      <c r="C701" s="43"/>
      <c r="D701" s="43"/>
      <c r="E701" s="42"/>
      <c r="F701" s="43"/>
      <c r="G701" s="43"/>
      <c r="H701" s="43"/>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c r="AG701" s="44"/>
      <c r="AH701" s="44"/>
      <c r="AI701" s="44"/>
      <c r="AJ701" s="44"/>
      <c r="AK701" s="44"/>
      <c r="AL701" s="44"/>
      <c r="AM701" s="44"/>
      <c r="AN701" s="44"/>
      <c r="AO701" s="44"/>
      <c r="AP701" s="44"/>
      <c r="AQ701" s="44"/>
      <c r="AR701" s="44"/>
      <c r="AS701" s="44"/>
      <c r="AT701" s="44"/>
      <c r="AU701" s="44"/>
      <c r="AV701" s="44"/>
      <c r="AW701" s="44"/>
      <c r="AX701" s="44"/>
      <c r="AY701" s="44"/>
      <c r="AZ701" s="44"/>
      <c r="BA701" s="44"/>
      <c r="BB701" s="44"/>
      <c r="BC701" s="44"/>
      <c r="BD701" s="44"/>
      <c r="BE701" s="44"/>
    </row>
    <row r="702">
      <c r="A702" s="42"/>
      <c r="B702" s="42"/>
      <c r="C702" s="43"/>
      <c r="D702" s="43"/>
      <c r="E702" s="42"/>
      <c r="F702" s="43"/>
      <c r="G702" s="43"/>
      <c r="H702" s="43"/>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c r="AN702" s="44"/>
      <c r="AO702" s="44"/>
      <c r="AP702" s="44"/>
      <c r="AQ702" s="44"/>
      <c r="AR702" s="44"/>
      <c r="AS702" s="44"/>
      <c r="AT702" s="44"/>
      <c r="AU702" s="44"/>
      <c r="AV702" s="44"/>
      <c r="AW702" s="44"/>
      <c r="AX702" s="44"/>
      <c r="AY702" s="44"/>
      <c r="AZ702" s="44"/>
      <c r="BA702" s="44"/>
      <c r="BB702" s="44"/>
      <c r="BC702" s="44"/>
      <c r="BD702" s="44"/>
      <c r="BE702" s="44"/>
    </row>
    <row r="703">
      <c r="A703" s="42"/>
      <c r="B703" s="42"/>
      <c r="C703" s="43"/>
      <c r="D703" s="43"/>
      <c r="E703" s="42"/>
      <c r="F703" s="43"/>
      <c r="G703" s="43"/>
      <c r="H703" s="43"/>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c r="AR703" s="44"/>
      <c r="AS703" s="44"/>
      <c r="AT703" s="44"/>
      <c r="AU703" s="44"/>
      <c r="AV703" s="44"/>
      <c r="AW703" s="44"/>
      <c r="AX703" s="44"/>
      <c r="AY703" s="44"/>
      <c r="AZ703" s="44"/>
      <c r="BA703" s="44"/>
      <c r="BB703" s="44"/>
      <c r="BC703" s="44"/>
      <c r="BD703" s="44"/>
      <c r="BE703" s="44"/>
    </row>
    <row r="704">
      <c r="A704" s="42"/>
      <c r="B704" s="42"/>
      <c r="C704" s="43"/>
      <c r="D704" s="43"/>
      <c r="E704" s="42"/>
      <c r="F704" s="43"/>
      <c r="G704" s="43"/>
      <c r="H704" s="43"/>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44"/>
      <c r="AO704" s="44"/>
      <c r="AP704" s="44"/>
      <c r="AQ704" s="44"/>
      <c r="AR704" s="44"/>
      <c r="AS704" s="44"/>
      <c r="AT704" s="44"/>
      <c r="AU704" s="44"/>
      <c r="AV704" s="44"/>
      <c r="AW704" s="44"/>
      <c r="AX704" s="44"/>
      <c r="AY704" s="44"/>
      <c r="AZ704" s="44"/>
      <c r="BA704" s="44"/>
      <c r="BB704" s="44"/>
      <c r="BC704" s="44"/>
      <c r="BD704" s="44"/>
      <c r="BE704" s="44"/>
    </row>
    <row r="705">
      <c r="A705" s="42"/>
      <c r="B705" s="42"/>
      <c r="C705" s="43"/>
      <c r="D705" s="43"/>
      <c r="E705" s="42"/>
      <c r="F705" s="43"/>
      <c r="G705" s="43"/>
      <c r="H705" s="43"/>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c r="AG705" s="44"/>
      <c r="AH705" s="44"/>
      <c r="AI705" s="44"/>
      <c r="AJ705" s="44"/>
      <c r="AK705" s="44"/>
      <c r="AL705" s="44"/>
      <c r="AM705" s="44"/>
      <c r="AN705" s="44"/>
      <c r="AO705" s="44"/>
      <c r="AP705" s="44"/>
      <c r="AQ705" s="44"/>
      <c r="AR705" s="44"/>
      <c r="AS705" s="44"/>
      <c r="AT705" s="44"/>
      <c r="AU705" s="44"/>
      <c r="AV705" s="44"/>
      <c r="AW705" s="44"/>
      <c r="AX705" s="44"/>
      <c r="AY705" s="44"/>
      <c r="AZ705" s="44"/>
      <c r="BA705" s="44"/>
      <c r="BB705" s="44"/>
      <c r="BC705" s="44"/>
      <c r="BD705" s="44"/>
      <c r="BE705" s="44"/>
    </row>
    <row r="706">
      <c r="A706" s="42"/>
      <c r="B706" s="42"/>
      <c r="C706" s="43"/>
      <c r="D706" s="43"/>
      <c r="E706" s="42"/>
      <c r="F706" s="43"/>
      <c r="G706" s="43"/>
      <c r="H706" s="43"/>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c r="AG706" s="44"/>
      <c r="AH706" s="44"/>
      <c r="AI706" s="44"/>
      <c r="AJ706" s="44"/>
      <c r="AK706" s="44"/>
      <c r="AL706" s="44"/>
      <c r="AM706" s="44"/>
      <c r="AN706" s="44"/>
      <c r="AO706" s="44"/>
      <c r="AP706" s="44"/>
      <c r="AQ706" s="44"/>
      <c r="AR706" s="44"/>
      <c r="AS706" s="44"/>
      <c r="AT706" s="44"/>
      <c r="AU706" s="44"/>
      <c r="AV706" s="44"/>
      <c r="AW706" s="44"/>
      <c r="AX706" s="44"/>
      <c r="AY706" s="44"/>
      <c r="AZ706" s="44"/>
      <c r="BA706" s="44"/>
      <c r="BB706" s="44"/>
      <c r="BC706" s="44"/>
      <c r="BD706" s="44"/>
      <c r="BE706" s="44"/>
    </row>
    <row r="707">
      <c r="A707" s="42"/>
      <c r="B707" s="42"/>
      <c r="C707" s="43"/>
      <c r="D707" s="43"/>
      <c r="E707" s="42"/>
      <c r="F707" s="43"/>
      <c r="G707" s="43"/>
      <c r="H707" s="43"/>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4"/>
      <c r="AM707" s="44"/>
      <c r="AN707" s="44"/>
      <c r="AO707" s="44"/>
      <c r="AP707" s="44"/>
      <c r="AQ707" s="44"/>
      <c r="AR707" s="44"/>
      <c r="AS707" s="44"/>
      <c r="AT707" s="44"/>
      <c r="AU707" s="44"/>
      <c r="AV707" s="44"/>
      <c r="AW707" s="44"/>
      <c r="AX707" s="44"/>
      <c r="AY707" s="44"/>
      <c r="AZ707" s="44"/>
      <c r="BA707" s="44"/>
      <c r="BB707" s="44"/>
      <c r="BC707" s="44"/>
      <c r="BD707" s="44"/>
      <c r="BE707" s="44"/>
    </row>
    <row r="708">
      <c r="A708" s="42"/>
      <c r="B708" s="42"/>
      <c r="C708" s="43"/>
      <c r="D708" s="43"/>
      <c r="E708" s="42"/>
      <c r="F708" s="43"/>
      <c r="G708" s="43"/>
      <c r="H708" s="43"/>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c r="AG708" s="44"/>
      <c r="AH708" s="44"/>
      <c r="AI708" s="44"/>
      <c r="AJ708" s="44"/>
      <c r="AK708" s="44"/>
      <c r="AL708" s="44"/>
      <c r="AM708" s="44"/>
      <c r="AN708" s="44"/>
      <c r="AO708" s="44"/>
      <c r="AP708" s="44"/>
      <c r="AQ708" s="44"/>
      <c r="AR708" s="44"/>
      <c r="AS708" s="44"/>
      <c r="AT708" s="44"/>
      <c r="AU708" s="44"/>
      <c r="AV708" s="44"/>
      <c r="AW708" s="44"/>
      <c r="AX708" s="44"/>
      <c r="AY708" s="44"/>
      <c r="AZ708" s="44"/>
      <c r="BA708" s="44"/>
      <c r="BB708" s="44"/>
      <c r="BC708" s="44"/>
      <c r="BD708" s="44"/>
      <c r="BE708" s="44"/>
    </row>
    <row r="709">
      <c r="A709" s="42"/>
      <c r="B709" s="42"/>
      <c r="C709" s="43"/>
      <c r="D709" s="43"/>
      <c r="E709" s="42"/>
      <c r="F709" s="43"/>
      <c r="G709" s="43"/>
      <c r="H709" s="43"/>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c r="AN709" s="44"/>
      <c r="AO709" s="44"/>
      <c r="AP709" s="44"/>
      <c r="AQ709" s="44"/>
      <c r="AR709" s="44"/>
      <c r="AS709" s="44"/>
      <c r="AT709" s="44"/>
      <c r="AU709" s="44"/>
      <c r="AV709" s="44"/>
      <c r="AW709" s="44"/>
      <c r="AX709" s="44"/>
      <c r="AY709" s="44"/>
      <c r="AZ709" s="44"/>
      <c r="BA709" s="44"/>
      <c r="BB709" s="44"/>
      <c r="BC709" s="44"/>
      <c r="BD709" s="44"/>
      <c r="BE709" s="44"/>
    </row>
    <row r="710">
      <c r="A710" s="42"/>
      <c r="B710" s="42"/>
      <c r="C710" s="43"/>
      <c r="D710" s="43"/>
      <c r="E710" s="42"/>
      <c r="F710" s="43"/>
      <c r="G710" s="43"/>
      <c r="H710" s="43"/>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c r="AN710" s="44"/>
      <c r="AO710" s="44"/>
      <c r="AP710" s="44"/>
      <c r="AQ710" s="44"/>
      <c r="AR710" s="44"/>
      <c r="AS710" s="44"/>
      <c r="AT710" s="44"/>
      <c r="AU710" s="44"/>
      <c r="AV710" s="44"/>
      <c r="AW710" s="44"/>
      <c r="AX710" s="44"/>
      <c r="AY710" s="44"/>
      <c r="AZ710" s="44"/>
      <c r="BA710" s="44"/>
      <c r="BB710" s="44"/>
      <c r="BC710" s="44"/>
      <c r="BD710" s="44"/>
      <c r="BE710" s="44"/>
    </row>
    <row r="711">
      <c r="A711" s="42"/>
      <c r="B711" s="42"/>
      <c r="C711" s="43"/>
      <c r="D711" s="43"/>
      <c r="E711" s="42"/>
      <c r="F711" s="43"/>
      <c r="G711" s="43"/>
      <c r="H711" s="43"/>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c r="AG711" s="44"/>
      <c r="AH711" s="44"/>
      <c r="AI711" s="44"/>
      <c r="AJ711" s="44"/>
      <c r="AK711" s="44"/>
      <c r="AL711" s="44"/>
      <c r="AM711" s="44"/>
      <c r="AN711" s="44"/>
      <c r="AO711" s="44"/>
      <c r="AP711" s="44"/>
      <c r="AQ711" s="44"/>
      <c r="AR711" s="44"/>
      <c r="AS711" s="44"/>
      <c r="AT711" s="44"/>
      <c r="AU711" s="44"/>
      <c r="AV711" s="44"/>
      <c r="AW711" s="44"/>
      <c r="AX711" s="44"/>
      <c r="AY711" s="44"/>
      <c r="AZ711" s="44"/>
      <c r="BA711" s="44"/>
      <c r="BB711" s="44"/>
      <c r="BC711" s="44"/>
      <c r="BD711" s="44"/>
      <c r="BE711" s="44"/>
    </row>
    <row r="712">
      <c r="A712" s="42"/>
      <c r="B712" s="42"/>
      <c r="C712" s="43"/>
      <c r="D712" s="43"/>
      <c r="E712" s="42"/>
      <c r="F712" s="43"/>
      <c r="G712" s="43"/>
      <c r="H712" s="43"/>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c r="AG712" s="44"/>
      <c r="AH712" s="44"/>
      <c r="AI712" s="44"/>
      <c r="AJ712" s="44"/>
      <c r="AK712" s="44"/>
      <c r="AL712" s="44"/>
      <c r="AM712" s="44"/>
      <c r="AN712" s="44"/>
      <c r="AO712" s="44"/>
      <c r="AP712" s="44"/>
      <c r="AQ712" s="44"/>
      <c r="AR712" s="44"/>
      <c r="AS712" s="44"/>
      <c r="AT712" s="44"/>
      <c r="AU712" s="44"/>
      <c r="AV712" s="44"/>
      <c r="AW712" s="44"/>
      <c r="AX712" s="44"/>
      <c r="AY712" s="44"/>
      <c r="AZ712" s="44"/>
      <c r="BA712" s="44"/>
      <c r="BB712" s="44"/>
      <c r="BC712" s="44"/>
      <c r="BD712" s="44"/>
      <c r="BE712" s="44"/>
    </row>
    <row r="713">
      <c r="A713" s="42"/>
      <c r="B713" s="42"/>
      <c r="C713" s="43"/>
      <c r="D713" s="43"/>
      <c r="E713" s="42"/>
      <c r="F713" s="43"/>
      <c r="G713" s="43"/>
      <c r="H713" s="43"/>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c r="AG713" s="44"/>
      <c r="AH713" s="44"/>
      <c r="AI713" s="44"/>
      <c r="AJ713" s="44"/>
      <c r="AK713" s="44"/>
      <c r="AL713" s="44"/>
      <c r="AM713" s="44"/>
      <c r="AN713" s="44"/>
      <c r="AO713" s="44"/>
      <c r="AP713" s="44"/>
      <c r="AQ713" s="44"/>
      <c r="AR713" s="44"/>
      <c r="AS713" s="44"/>
      <c r="AT713" s="44"/>
      <c r="AU713" s="44"/>
      <c r="AV713" s="44"/>
      <c r="AW713" s="44"/>
      <c r="AX713" s="44"/>
      <c r="AY713" s="44"/>
      <c r="AZ713" s="44"/>
      <c r="BA713" s="44"/>
      <c r="BB713" s="44"/>
      <c r="BC713" s="44"/>
      <c r="BD713" s="44"/>
      <c r="BE713" s="44"/>
    </row>
    <row r="714">
      <c r="A714" s="42"/>
      <c r="B714" s="42"/>
      <c r="C714" s="43"/>
      <c r="D714" s="43"/>
      <c r="E714" s="42"/>
      <c r="F714" s="43"/>
      <c r="G714" s="43"/>
      <c r="H714" s="43"/>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c r="AG714" s="44"/>
      <c r="AH714" s="44"/>
      <c r="AI714" s="44"/>
      <c r="AJ714" s="44"/>
      <c r="AK714" s="44"/>
      <c r="AL714" s="44"/>
      <c r="AM714" s="44"/>
      <c r="AN714" s="44"/>
      <c r="AO714" s="44"/>
      <c r="AP714" s="44"/>
      <c r="AQ714" s="44"/>
      <c r="AR714" s="44"/>
      <c r="AS714" s="44"/>
      <c r="AT714" s="44"/>
      <c r="AU714" s="44"/>
      <c r="AV714" s="44"/>
      <c r="AW714" s="44"/>
      <c r="AX714" s="44"/>
      <c r="AY714" s="44"/>
      <c r="AZ714" s="44"/>
      <c r="BA714" s="44"/>
      <c r="BB714" s="44"/>
      <c r="BC714" s="44"/>
      <c r="BD714" s="44"/>
      <c r="BE714" s="44"/>
    </row>
    <row r="715">
      <c r="A715" s="42"/>
      <c r="B715" s="42"/>
      <c r="C715" s="43"/>
      <c r="D715" s="43"/>
      <c r="E715" s="42"/>
      <c r="F715" s="43"/>
      <c r="G715" s="43"/>
      <c r="H715" s="43"/>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c r="AN715" s="44"/>
      <c r="AO715" s="44"/>
      <c r="AP715" s="44"/>
      <c r="AQ715" s="44"/>
      <c r="AR715" s="44"/>
      <c r="AS715" s="44"/>
      <c r="AT715" s="44"/>
      <c r="AU715" s="44"/>
      <c r="AV715" s="44"/>
      <c r="AW715" s="44"/>
      <c r="AX715" s="44"/>
      <c r="AY715" s="44"/>
      <c r="AZ715" s="44"/>
      <c r="BA715" s="44"/>
      <c r="BB715" s="44"/>
      <c r="BC715" s="44"/>
      <c r="BD715" s="44"/>
      <c r="BE715" s="44"/>
    </row>
    <row r="716">
      <c r="A716" s="42"/>
      <c r="B716" s="42"/>
      <c r="C716" s="43"/>
      <c r="D716" s="43"/>
      <c r="E716" s="42"/>
      <c r="F716" s="43"/>
      <c r="G716" s="43"/>
      <c r="H716" s="43"/>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c r="AG716" s="44"/>
      <c r="AH716" s="44"/>
      <c r="AI716" s="44"/>
      <c r="AJ716" s="44"/>
      <c r="AK716" s="44"/>
      <c r="AL716" s="44"/>
      <c r="AM716" s="44"/>
      <c r="AN716" s="44"/>
      <c r="AO716" s="44"/>
      <c r="AP716" s="44"/>
      <c r="AQ716" s="44"/>
      <c r="AR716" s="44"/>
      <c r="AS716" s="44"/>
      <c r="AT716" s="44"/>
      <c r="AU716" s="44"/>
      <c r="AV716" s="44"/>
      <c r="AW716" s="44"/>
      <c r="AX716" s="44"/>
      <c r="AY716" s="44"/>
      <c r="AZ716" s="44"/>
      <c r="BA716" s="44"/>
      <c r="BB716" s="44"/>
      <c r="BC716" s="44"/>
      <c r="BD716" s="44"/>
      <c r="BE716" s="44"/>
    </row>
    <row r="717">
      <c r="A717" s="42"/>
      <c r="B717" s="42"/>
      <c r="C717" s="43"/>
      <c r="D717" s="43"/>
      <c r="E717" s="42"/>
      <c r="F717" s="43"/>
      <c r="G717" s="43"/>
      <c r="H717" s="43"/>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c r="AG717" s="44"/>
      <c r="AH717" s="44"/>
      <c r="AI717" s="44"/>
      <c r="AJ717" s="44"/>
      <c r="AK717" s="44"/>
      <c r="AL717" s="44"/>
      <c r="AM717" s="44"/>
      <c r="AN717" s="44"/>
      <c r="AO717" s="44"/>
      <c r="AP717" s="44"/>
      <c r="AQ717" s="44"/>
      <c r="AR717" s="44"/>
      <c r="AS717" s="44"/>
      <c r="AT717" s="44"/>
      <c r="AU717" s="44"/>
      <c r="AV717" s="44"/>
      <c r="AW717" s="44"/>
      <c r="AX717" s="44"/>
      <c r="AY717" s="44"/>
      <c r="AZ717" s="44"/>
      <c r="BA717" s="44"/>
      <c r="BB717" s="44"/>
      <c r="BC717" s="44"/>
      <c r="BD717" s="44"/>
      <c r="BE717" s="44"/>
    </row>
    <row r="718">
      <c r="A718" s="42"/>
      <c r="B718" s="42"/>
      <c r="C718" s="43"/>
      <c r="D718" s="43"/>
      <c r="E718" s="42"/>
      <c r="F718" s="43"/>
      <c r="G718" s="43"/>
      <c r="H718" s="43"/>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c r="AG718" s="44"/>
      <c r="AH718" s="44"/>
      <c r="AI718" s="44"/>
      <c r="AJ718" s="44"/>
      <c r="AK718" s="44"/>
      <c r="AL718" s="44"/>
      <c r="AM718" s="44"/>
      <c r="AN718" s="44"/>
      <c r="AO718" s="44"/>
      <c r="AP718" s="44"/>
      <c r="AQ718" s="44"/>
      <c r="AR718" s="44"/>
      <c r="AS718" s="44"/>
      <c r="AT718" s="44"/>
      <c r="AU718" s="44"/>
      <c r="AV718" s="44"/>
      <c r="AW718" s="44"/>
      <c r="AX718" s="44"/>
      <c r="AY718" s="44"/>
      <c r="AZ718" s="44"/>
      <c r="BA718" s="44"/>
      <c r="BB718" s="44"/>
      <c r="BC718" s="44"/>
      <c r="BD718" s="44"/>
      <c r="BE718" s="44"/>
    </row>
    <row r="719">
      <c r="A719" s="42"/>
      <c r="B719" s="42"/>
      <c r="C719" s="43"/>
      <c r="D719" s="43"/>
      <c r="E719" s="42"/>
      <c r="F719" s="43"/>
      <c r="G719" s="43"/>
      <c r="H719" s="43"/>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c r="AG719" s="44"/>
      <c r="AH719" s="44"/>
      <c r="AI719" s="44"/>
      <c r="AJ719" s="44"/>
      <c r="AK719" s="44"/>
      <c r="AL719" s="44"/>
      <c r="AM719" s="44"/>
      <c r="AN719" s="44"/>
      <c r="AO719" s="44"/>
      <c r="AP719" s="44"/>
      <c r="AQ719" s="44"/>
      <c r="AR719" s="44"/>
      <c r="AS719" s="44"/>
      <c r="AT719" s="44"/>
      <c r="AU719" s="44"/>
      <c r="AV719" s="44"/>
      <c r="AW719" s="44"/>
      <c r="AX719" s="44"/>
      <c r="AY719" s="44"/>
      <c r="AZ719" s="44"/>
      <c r="BA719" s="44"/>
      <c r="BB719" s="44"/>
      <c r="BC719" s="44"/>
      <c r="BD719" s="44"/>
      <c r="BE719" s="44"/>
    </row>
    <row r="720">
      <c r="A720" s="42"/>
      <c r="B720" s="42"/>
      <c r="C720" s="43"/>
      <c r="D720" s="43"/>
      <c r="E720" s="42"/>
      <c r="F720" s="43"/>
      <c r="G720" s="43"/>
      <c r="H720" s="43"/>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44"/>
      <c r="AO720" s="44"/>
      <c r="AP720" s="44"/>
      <c r="AQ720" s="44"/>
      <c r="AR720" s="44"/>
      <c r="AS720" s="44"/>
      <c r="AT720" s="44"/>
      <c r="AU720" s="44"/>
      <c r="AV720" s="44"/>
      <c r="AW720" s="44"/>
      <c r="AX720" s="44"/>
      <c r="AY720" s="44"/>
      <c r="AZ720" s="44"/>
      <c r="BA720" s="44"/>
      <c r="BB720" s="44"/>
      <c r="BC720" s="44"/>
      <c r="BD720" s="44"/>
      <c r="BE720" s="44"/>
    </row>
    <row r="721">
      <c r="A721" s="42"/>
      <c r="B721" s="42"/>
      <c r="C721" s="43"/>
      <c r="D721" s="43"/>
      <c r="E721" s="42"/>
      <c r="F721" s="43"/>
      <c r="G721" s="43"/>
      <c r="H721" s="43"/>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c r="AN721" s="44"/>
      <c r="AO721" s="44"/>
      <c r="AP721" s="44"/>
      <c r="AQ721" s="44"/>
      <c r="AR721" s="44"/>
      <c r="AS721" s="44"/>
      <c r="AT721" s="44"/>
      <c r="AU721" s="44"/>
      <c r="AV721" s="44"/>
      <c r="AW721" s="44"/>
      <c r="AX721" s="44"/>
      <c r="AY721" s="44"/>
      <c r="AZ721" s="44"/>
      <c r="BA721" s="44"/>
      <c r="BB721" s="44"/>
      <c r="BC721" s="44"/>
      <c r="BD721" s="44"/>
      <c r="BE721" s="44"/>
    </row>
    <row r="722">
      <c r="A722" s="42"/>
      <c r="B722" s="42"/>
      <c r="C722" s="43"/>
      <c r="D722" s="43"/>
      <c r="E722" s="42"/>
      <c r="F722" s="43"/>
      <c r="G722" s="43"/>
      <c r="H722" s="43"/>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c r="AG722" s="44"/>
      <c r="AH722" s="44"/>
      <c r="AI722" s="44"/>
      <c r="AJ722" s="44"/>
      <c r="AK722" s="44"/>
      <c r="AL722" s="44"/>
      <c r="AM722" s="44"/>
      <c r="AN722" s="44"/>
      <c r="AO722" s="44"/>
      <c r="AP722" s="44"/>
      <c r="AQ722" s="44"/>
      <c r="AR722" s="44"/>
      <c r="AS722" s="44"/>
      <c r="AT722" s="44"/>
      <c r="AU722" s="44"/>
      <c r="AV722" s="44"/>
      <c r="AW722" s="44"/>
      <c r="AX722" s="44"/>
      <c r="AY722" s="44"/>
      <c r="AZ722" s="44"/>
      <c r="BA722" s="44"/>
      <c r="BB722" s="44"/>
      <c r="BC722" s="44"/>
      <c r="BD722" s="44"/>
      <c r="BE722" s="44"/>
    </row>
    <row r="723">
      <c r="A723" s="42"/>
      <c r="B723" s="42"/>
      <c r="C723" s="43"/>
      <c r="D723" s="43"/>
      <c r="E723" s="42"/>
      <c r="F723" s="43"/>
      <c r="G723" s="43"/>
      <c r="H723" s="43"/>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c r="AN723" s="44"/>
      <c r="AO723" s="44"/>
      <c r="AP723" s="44"/>
      <c r="AQ723" s="44"/>
      <c r="AR723" s="44"/>
      <c r="AS723" s="44"/>
      <c r="AT723" s="44"/>
      <c r="AU723" s="44"/>
      <c r="AV723" s="44"/>
      <c r="AW723" s="44"/>
      <c r="AX723" s="44"/>
      <c r="AY723" s="44"/>
      <c r="AZ723" s="44"/>
      <c r="BA723" s="44"/>
      <c r="BB723" s="44"/>
      <c r="BC723" s="44"/>
      <c r="BD723" s="44"/>
      <c r="BE723" s="44"/>
    </row>
    <row r="724">
      <c r="A724" s="42"/>
      <c r="B724" s="42"/>
      <c r="C724" s="43"/>
      <c r="D724" s="43"/>
      <c r="E724" s="42"/>
      <c r="F724" s="43"/>
      <c r="G724" s="43"/>
      <c r="H724" s="43"/>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c r="AG724" s="44"/>
      <c r="AH724" s="44"/>
      <c r="AI724" s="44"/>
      <c r="AJ724" s="44"/>
      <c r="AK724" s="44"/>
      <c r="AL724" s="44"/>
      <c r="AM724" s="44"/>
      <c r="AN724" s="44"/>
      <c r="AO724" s="44"/>
      <c r="AP724" s="44"/>
      <c r="AQ724" s="44"/>
      <c r="AR724" s="44"/>
      <c r="AS724" s="44"/>
      <c r="AT724" s="44"/>
      <c r="AU724" s="44"/>
      <c r="AV724" s="44"/>
      <c r="AW724" s="44"/>
      <c r="AX724" s="44"/>
      <c r="AY724" s="44"/>
      <c r="AZ724" s="44"/>
      <c r="BA724" s="44"/>
      <c r="BB724" s="44"/>
      <c r="BC724" s="44"/>
      <c r="BD724" s="44"/>
      <c r="BE724" s="44"/>
    </row>
    <row r="725">
      <c r="A725" s="42"/>
      <c r="B725" s="42"/>
      <c r="C725" s="43"/>
      <c r="D725" s="43"/>
      <c r="E725" s="42"/>
      <c r="F725" s="43"/>
      <c r="G725" s="43"/>
      <c r="H725" s="43"/>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c r="AN725" s="44"/>
      <c r="AO725" s="44"/>
      <c r="AP725" s="44"/>
      <c r="AQ725" s="44"/>
      <c r="AR725" s="44"/>
      <c r="AS725" s="44"/>
      <c r="AT725" s="44"/>
      <c r="AU725" s="44"/>
      <c r="AV725" s="44"/>
      <c r="AW725" s="44"/>
      <c r="AX725" s="44"/>
      <c r="AY725" s="44"/>
      <c r="AZ725" s="44"/>
      <c r="BA725" s="44"/>
      <c r="BB725" s="44"/>
      <c r="BC725" s="44"/>
      <c r="BD725" s="44"/>
      <c r="BE725" s="44"/>
    </row>
    <row r="726">
      <c r="A726" s="42"/>
      <c r="B726" s="42"/>
      <c r="C726" s="43"/>
      <c r="D726" s="43"/>
      <c r="E726" s="42"/>
      <c r="F726" s="43"/>
      <c r="G726" s="43"/>
      <c r="H726" s="43"/>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c r="AG726" s="44"/>
      <c r="AH726" s="44"/>
      <c r="AI726" s="44"/>
      <c r="AJ726" s="44"/>
      <c r="AK726" s="44"/>
      <c r="AL726" s="44"/>
      <c r="AM726" s="44"/>
      <c r="AN726" s="44"/>
      <c r="AO726" s="44"/>
      <c r="AP726" s="44"/>
      <c r="AQ726" s="44"/>
      <c r="AR726" s="44"/>
      <c r="AS726" s="44"/>
      <c r="AT726" s="44"/>
      <c r="AU726" s="44"/>
      <c r="AV726" s="44"/>
      <c r="AW726" s="44"/>
      <c r="AX726" s="44"/>
      <c r="AY726" s="44"/>
      <c r="AZ726" s="44"/>
      <c r="BA726" s="44"/>
      <c r="BB726" s="44"/>
      <c r="BC726" s="44"/>
      <c r="BD726" s="44"/>
      <c r="BE726" s="44"/>
    </row>
    <row r="727">
      <c r="A727" s="42"/>
      <c r="B727" s="42"/>
      <c r="C727" s="43"/>
      <c r="D727" s="43"/>
      <c r="E727" s="42"/>
      <c r="F727" s="43"/>
      <c r="G727" s="43"/>
      <c r="H727" s="43"/>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c r="AN727" s="44"/>
      <c r="AO727" s="44"/>
      <c r="AP727" s="44"/>
      <c r="AQ727" s="44"/>
      <c r="AR727" s="44"/>
      <c r="AS727" s="44"/>
      <c r="AT727" s="44"/>
      <c r="AU727" s="44"/>
      <c r="AV727" s="44"/>
      <c r="AW727" s="44"/>
      <c r="AX727" s="44"/>
      <c r="AY727" s="44"/>
      <c r="AZ727" s="44"/>
      <c r="BA727" s="44"/>
      <c r="BB727" s="44"/>
      <c r="BC727" s="44"/>
      <c r="BD727" s="44"/>
      <c r="BE727" s="44"/>
    </row>
    <row r="728">
      <c r="A728" s="42"/>
      <c r="B728" s="42"/>
      <c r="C728" s="43"/>
      <c r="D728" s="43"/>
      <c r="E728" s="42"/>
      <c r="F728" s="43"/>
      <c r="G728" s="43"/>
      <c r="H728" s="43"/>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c r="AG728" s="44"/>
      <c r="AH728" s="44"/>
      <c r="AI728" s="44"/>
      <c r="AJ728" s="44"/>
      <c r="AK728" s="44"/>
      <c r="AL728" s="44"/>
      <c r="AM728" s="44"/>
      <c r="AN728" s="44"/>
      <c r="AO728" s="44"/>
      <c r="AP728" s="44"/>
      <c r="AQ728" s="44"/>
      <c r="AR728" s="44"/>
      <c r="AS728" s="44"/>
      <c r="AT728" s="44"/>
      <c r="AU728" s="44"/>
      <c r="AV728" s="44"/>
      <c r="AW728" s="44"/>
      <c r="AX728" s="44"/>
      <c r="AY728" s="44"/>
      <c r="AZ728" s="44"/>
      <c r="BA728" s="44"/>
      <c r="BB728" s="44"/>
      <c r="BC728" s="44"/>
      <c r="BD728" s="44"/>
      <c r="BE728" s="44"/>
    </row>
    <row r="729">
      <c r="A729" s="42"/>
      <c r="B729" s="42"/>
      <c r="C729" s="43"/>
      <c r="D729" s="43"/>
      <c r="E729" s="42"/>
      <c r="F729" s="43"/>
      <c r="G729" s="43"/>
      <c r="H729" s="43"/>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c r="AG729" s="44"/>
      <c r="AH729" s="44"/>
      <c r="AI729" s="44"/>
      <c r="AJ729" s="44"/>
      <c r="AK729" s="44"/>
      <c r="AL729" s="44"/>
      <c r="AM729" s="44"/>
      <c r="AN729" s="44"/>
      <c r="AO729" s="44"/>
      <c r="AP729" s="44"/>
      <c r="AQ729" s="44"/>
      <c r="AR729" s="44"/>
      <c r="AS729" s="44"/>
      <c r="AT729" s="44"/>
      <c r="AU729" s="44"/>
      <c r="AV729" s="44"/>
      <c r="AW729" s="44"/>
      <c r="AX729" s="44"/>
      <c r="AY729" s="44"/>
      <c r="AZ729" s="44"/>
      <c r="BA729" s="44"/>
      <c r="BB729" s="44"/>
      <c r="BC729" s="44"/>
      <c r="BD729" s="44"/>
      <c r="BE729" s="44"/>
    </row>
    <row r="730">
      <c r="A730" s="42"/>
      <c r="B730" s="42"/>
      <c r="C730" s="43"/>
      <c r="D730" s="43"/>
      <c r="E730" s="42"/>
      <c r="F730" s="43"/>
      <c r="G730" s="43"/>
      <c r="H730" s="43"/>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c r="AR730" s="44"/>
      <c r="AS730" s="44"/>
      <c r="AT730" s="44"/>
      <c r="AU730" s="44"/>
      <c r="AV730" s="44"/>
      <c r="AW730" s="44"/>
      <c r="AX730" s="44"/>
      <c r="AY730" s="44"/>
      <c r="AZ730" s="44"/>
      <c r="BA730" s="44"/>
      <c r="BB730" s="44"/>
      <c r="BC730" s="44"/>
      <c r="BD730" s="44"/>
      <c r="BE730" s="44"/>
    </row>
    <row r="731">
      <c r="A731" s="42"/>
      <c r="B731" s="42"/>
      <c r="C731" s="43"/>
      <c r="D731" s="43"/>
      <c r="E731" s="42"/>
      <c r="F731" s="43"/>
      <c r="G731" s="43"/>
      <c r="H731" s="43"/>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c r="AH731" s="44"/>
      <c r="AI731" s="44"/>
      <c r="AJ731" s="44"/>
      <c r="AK731" s="44"/>
      <c r="AL731" s="44"/>
      <c r="AM731" s="44"/>
      <c r="AN731" s="44"/>
      <c r="AO731" s="44"/>
      <c r="AP731" s="44"/>
      <c r="AQ731" s="44"/>
      <c r="AR731" s="44"/>
      <c r="AS731" s="44"/>
      <c r="AT731" s="44"/>
      <c r="AU731" s="44"/>
      <c r="AV731" s="44"/>
      <c r="AW731" s="44"/>
      <c r="AX731" s="44"/>
      <c r="AY731" s="44"/>
      <c r="AZ731" s="44"/>
      <c r="BA731" s="44"/>
      <c r="BB731" s="44"/>
      <c r="BC731" s="44"/>
      <c r="BD731" s="44"/>
      <c r="BE731" s="44"/>
    </row>
    <row r="732">
      <c r="A732" s="42"/>
      <c r="B732" s="42"/>
      <c r="C732" s="43"/>
      <c r="D732" s="43"/>
      <c r="E732" s="42"/>
      <c r="F732" s="43"/>
      <c r="G732" s="43"/>
      <c r="H732" s="43"/>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4"/>
      <c r="AH732" s="44"/>
      <c r="AI732" s="44"/>
      <c r="AJ732" s="44"/>
      <c r="AK732" s="44"/>
      <c r="AL732" s="44"/>
      <c r="AM732" s="44"/>
      <c r="AN732" s="44"/>
      <c r="AO732" s="44"/>
      <c r="AP732" s="44"/>
      <c r="AQ732" s="44"/>
      <c r="AR732" s="44"/>
      <c r="AS732" s="44"/>
      <c r="AT732" s="44"/>
      <c r="AU732" s="44"/>
      <c r="AV732" s="44"/>
      <c r="AW732" s="44"/>
      <c r="AX732" s="44"/>
      <c r="AY732" s="44"/>
      <c r="AZ732" s="44"/>
      <c r="BA732" s="44"/>
      <c r="BB732" s="44"/>
      <c r="BC732" s="44"/>
      <c r="BD732" s="44"/>
      <c r="BE732" s="44"/>
    </row>
    <row r="733">
      <c r="A733" s="42"/>
      <c r="B733" s="42"/>
      <c r="C733" s="43"/>
      <c r="D733" s="43"/>
      <c r="E733" s="42"/>
      <c r="F733" s="43"/>
      <c r="G733" s="43"/>
      <c r="H733" s="43"/>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4"/>
      <c r="AM733" s="44"/>
      <c r="AN733" s="44"/>
      <c r="AO733" s="44"/>
      <c r="AP733" s="44"/>
      <c r="AQ733" s="44"/>
      <c r="AR733" s="44"/>
      <c r="AS733" s="44"/>
      <c r="AT733" s="44"/>
      <c r="AU733" s="44"/>
      <c r="AV733" s="44"/>
      <c r="AW733" s="44"/>
      <c r="AX733" s="44"/>
      <c r="AY733" s="44"/>
      <c r="AZ733" s="44"/>
      <c r="BA733" s="44"/>
      <c r="BB733" s="44"/>
      <c r="BC733" s="44"/>
      <c r="BD733" s="44"/>
      <c r="BE733" s="44"/>
    </row>
    <row r="734">
      <c r="A734" s="42"/>
      <c r="B734" s="42"/>
      <c r="C734" s="43"/>
      <c r="D734" s="43"/>
      <c r="E734" s="42"/>
      <c r="F734" s="43"/>
      <c r="G734" s="43"/>
      <c r="H734" s="43"/>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4"/>
      <c r="AH734" s="44"/>
      <c r="AI734" s="44"/>
      <c r="AJ734" s="44"/>
      <c r="AK734" s="44"/>
      <c r="AL734" s="44"/>
      <c r="AM734" s="44"/>
      <c r="AN734" s="44"/>
      <c r="AO734" s="44"/>
      <c r="AP734" s="44"/>
      <c r="AQ734" s="44"/>
      <c r="AR734" s="44"/>
      <c r="AS734" s="44"/>
      <c r="AT734" s="44"/>
      <c r="AU734" s="44"/>
      <c r="AV734" s="44"/>
      <c r="AW734" s="44"/>
      <c r="AX734" s="44"/>
      <c r="AY734" s="44"/>
      <c r="AZ734" s="44"/>
      <c r="BA734" s="44"/>
      <c r="BB734" s="44"/>
      <c r="BC734" s="44"/>
      <c r="BD734" s="44"/>
      <c r="BE734" s="44"/>
    </row>
    <row r="735">
      <c r="A735" s="42"/>
      <c r="B735" s="42"/>
      <c r="C735" s="43"/>
      <c r="D735" s="43"/>
      <c r="E735" s="42"/>
      <c r="F735" s="43"/>
      <c r="G735" s="43"/>
      <c r="H735" s="43"/>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4"/>
      <c r="AH735" s="44"/>
      <c r="AI735" s="44"/>
      <c r="AJ735" s="44"/>
      <c r="AK735" s="44"/>
      <c r="AL735" s="44"/>
      <c r="AM735" s="44"/>
      <c r="AN735" s="44"/>
      <c r="AO735" s="44"/>
      <c r="AP735" s="44"/>
      <c r="AQ735" s="44"/>
      <c r="AR735" s="44"/>
      <c r="AS735" s="44"/>
      <c r="AT735" s="44"/>
      <c r="AU735" s="44"/>
      <c r="AV735" s="44"/>
      <c r="AW735" s="44"/>
      <c r="AX735" s="44"/>
      <c r="AY735" s="44"/>
      <c r="AZ735" s="44"/>
      <c r="BA735" s="44"/>
      <c r="BB735" s="44"/>
      <c r="BC735" s="44"/>
      <c r="BD735" s="44"/>
      <c r="BE735" s="44"/>
    </row>
    <row r="736">
      <c r="A736" s="42"/>
      <c r="B736" s="42"/>
      <c r="C736" s="43"/>
      <c r="D736" s="43"/>
      <c r="E736" s="42"/>
      <c r="F736" s="43"/>
      <c r="G736" s="43"/>
      <c r="H736" s="43"/>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c r="AG736" s="44"/>
      <c r="AH736" s="44"/>
      <c r="AI736" s="44"/>
      <c r="AJ736" s="44"/>
      <c r="AK736" s="44"/>
      <c r="AL736" s="44"/>
      <c r="AM736" s="44"/>
      <c r="AN736" s="44"/>
      <c r="AO736" s="44"/>
      <c r="AP736" s="44"/>
      <c r="AQ736" s="44"/>
      <c r="AR736" s="44"/>
      <c r="AS736" s="44"/>
      <c r="AT736" s="44"/>
      <c r="AU736" s="44"/>
      <c r="AV736" s="44"/>
      <c r="AW736" s="44"/>
      <c r="AX736" s="44"/>
      <c r="AY736" s="44"/>
      <c r="AZ736" s="44"/>
      <c r="BA736" s="44"/>
      <c r="BB736" s="44"/>
      <c r="BC736" s="44"/>
      <c r="BD736" s="44"/>
      <c r="BE736" s="44"/>
    </row>
    <row r="737">
      <c r="A737" s="42"/>
      <c r="B737" s="42"/>
      <c r="C737" s="43"/>
      <c r="D737" s="43"/>
      <c r="E737" s="42"/>
      <c r="F737" s="43"/>
      <c r="G737" s="43"/>
      <c r="H737" s="43"/>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c r="AN737" s="44"/>
      <c r="AO737" s="44"/>
      <c r="AP737" s="44"/>
      <c r="AQ737" s="44"/>
      <c r="AR737" s="44"/>
      <c r="AS737" s="44"/>
      <c r="AT737" s="44"/>
      <c r="AU737" s="44"/>
      <c r="AV737" s="44"/>
      <c r="AW737" s="44"/>
      <c r="AX737" s="44"/>
      <c r="AY737" s="44"/>
      <c r="AZ737" s="44"/>
      <c r="BA737" s="44"/>
      <c r="BB737" s="44"/>
      <c r="BC737" s="44"/>
      <c r="BD737" s="44"/>
      <c r="BE737" s="44"/>
    </row>
    <row r="738">
      <c r="A738" s="42"/>
      <c r="B738" s="42"/>
      <c r="C738" s="43"/>
      <c r="D738" s="43"/>
      <c r="E738" s="42"/>
      <c r="F738" s="43"/>
      <c r="G738" s="43"/>
      <c r="H738" s="43"/>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c r="AS738" s="44"/>
      <c r="AT738" s="44"/>
      <c r="AU738" s="44"/>
      <c r="AV738" s="44"/>
      <c r="AW738" s="44"/>
      <c r="AX738" s="44"/>
      <c r="AY738" s="44"/>
      <c r="AZ738" s="44"/>
      <c r="BA738" s="44"/>
      <c r="BB738" s="44"/>
      <c r="BC738" s="44"/>
      <c r="BD738" s="44"/>
      <c r="BE738" s="44"/>
    </row>
    <row r="739">
      <c r="A739" s="42"/>
      <c r="B739" s="42"/>
      <c r="C739" s="43"/>
      <c r="D739" s="43"/>
      <c r="E739" s="42"/>
      <c r="F739" s="43"/>
      <c r="G739" s="43"/>
      <c r="H739" s="43"/>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c r="AS739" s="44"/>
      <c r="AT739" s="44"/>
      <c r="AU739" s="44"/>
      <c r="AV739" s="44"/>
      <c r="AW739" s="44"/>
      <c r="AX739" s="44"/>
      <c r="AY739" s="44"/>
      <c r="AZ739" s="44"/>
      <c r="BA739" s="44"/>
      <c r="BB739" s="44"/>
      <c r="BC739" s="44"/>
      <c r="BD739" s="44"/>
      <c r="BE739" s="44"/>
    </row>
    <row r="740">
      <c r="A740" s="42"/>
      <c r="B740" s="42"/>
      <c r="C740" s="43"/>
      <c r="D740" s="43"/>
      <c r="E740" s="42"/>
      <c r="F740" s="43"/>
      <c r="G740" s="43"/>
      <c r="H740" s="43"/>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c r="AS740" s="44"/>
      <c r="AT740" s="44"/>
      <c r="AU740" s="44"/>
      <c r="AV740" s="44"/>
      <c r="AW740" s="44"/>
      <c r="AX740" s="44"/>
      <c r="AY740" s="44"/>
      <c r="AZ740" s="44"/>
      <c r="BA740" s="44"/>
      <c r="BB740" s="44"/>
      <c r="BC740" s="44"/>
      <c r="BD740" s="44"/>
      <c r="BE740" s="44"/>
    </row>
    <row r="741">
      <c r="A741" s="42"/>
      <c r="B741" s="42"/>
      <c r="C741" s="43"/>
      <c r="D741" s="43"/>
      <c r="E741" s="42"/>
      <c r="F741" s="43"/>
      <c r="G741" s="43"/>
      <c r="H741" s="43"/>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c r="AS741" s="44"/>
      <c r="AT741" s="44"/>
      <c r="AU741" s="44"/>
      <c r="AV741" s="44"/>
      <c r="AW741" s="44"/>
      <c r="AX741" s="44"/>
      <c r="AY741" s="44"/>
      <c r="AZ741" s="44"/>
      <c r="BA741" s="44"/>
      <c r="BB741" s="44"/>
      <c r="BC741" s="44"/>
      <c r="BD741" s="44"/>
      <c r="BE741" s="44"/>
    </row>
    <row r="742">
      <c r="A742" s="42"/>
      <c r="B742" s="42"/>
      <c r="C742" s="43"/>
      <c r="D742" s="43"/>
      <c r="E742" s="42"/>
      <c r="F742" s="43"/>
      <c r="G742" s="43"/>
      <c r="H742" s="43"/>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4"/>
      <c r="AU742" s="44"/>
      <c r="AV742" s="44"/>
      <c r="AW742" s="44"/>
      <c r="AX742" s="44"/>
      <c r="AY742" s="44"/>
      <c r="AZ742" s="44"/>
      <c r="BA742" s="44"/>
      <c r="BB742" s="44"/>
      <c r="BC742" s="44"/>
      <c r="BD742" s="44"/>
      <c r="BE742" s="44"/>
    </row>
    <row r="743">
      <c r="A743" s="42"/>
      <c r="B743" s="42"/>
      <c r="C743" s="43"/>
      <c r="D743" s="43"/>
      <c r="E743" s="42"/>
      <c r="F743" s="43"/>
      <c r="G743" s="43"/>
      <c r="H743" s="43"/>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c r="AU743" s="44"/>
      <c r="AV743" s="44"/>
      <c r="AW743" s="44"/>
      <c r="AX743" s="44"/>
      <c r="AY743" s="44"/>
      <c r="AZ743" s="44"/>
      <c r="BA743" s="44"/>
      <c r="BB743" s="44"/>
      <c r="BC743" s="44"/>
      <c r="BD743" s="44"/>
      <c r="BE743" s="44"/>
    </row>
    <row r="744">
      <c r="A744" s="42"/>
      <c r="B744" s="42"/>
      <c r="C744" s="43"/>
      <c r="D744" s="43"/>
      <c r="E744" s="42"/>
      <c r="F744" s="43"/>
      <c r="G744" s="43"/>
      <c r="H744" s="43"/>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4"/>
      <c r="AU744" s="44"/>
      <c r="AV744" s="44"/>
      <c r="AW744" s="44"/>
      <c r="AX744" s="44"/>
      <c r="AY744" s="44"/>
      <c r="AZ744" s="44"/>
      <c r="BA744" s="44"/>
      <c r="BB744" s="44"/>
      <c r="BC744" s="44"/>
      <c r="BD744" s="44"/>
      <c r="BE744" s="44"/>
    </row>
    <row r="745">
      <c r="A745" s="42"/>
      <c r="B745" s="42"/>
      <c r="C745" s="43"/>
      <c r="D745" s="43"/>
      <c r="E745" s="42"/>
      <c r="F745" s="43"/>
      <c r="G745" s="43"/>
      <c r="H745" s="43"/>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c r="AS745" s="44"/>
      <c r="AT745" s="44"/>
      <c r="AU745" s="44"/>
      <c r="AV745" s="44"/>
      <c r="AW745" s="44"/>
      <c r="AX745" s="44"/>
      <c r="AY745" s="44"/>
      <c r="AZ745" s="44"/>
      <c r="BA745" s="44"/>
      <c r="BB745" s="44"/>
      <c r="BC745" s="44"/>
      <c r="BD745" s="44"/>
      <c r="BE745" s="44"/>
    </row>
    <row r="746">
      <c r="A746" s="42"/>
      <c r="B746" s="42"/>
      <c r="C746" s="43"/>
      <c r="D746" s="43"/>
      <c r="E746" s="42"/>
      <c r="F746" s="43"/>
      <c r="G746" s="43"/>
      <c r="H746" s="43"/>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c r="AY746" s="44"/>
      <c r="AZ746" s="44"/>
      <c r="BA746" s="44"/>
      <c r="BB746" s="44"/>
      <c r="BC746" s="44"/>
      <c r="BD746" s="44"/>
      <c r="BE746" s="44"/>
    </row>
    <row r="747">
      <c r="A747" s="42"/>
      <c r="B747" s="42"/>
      <c r="C747" s="43"/>
      <c r="D747" s="43"/>
      <c r="E747" s="42"/>
      <c r="F747" s="43"/>
      <c r="G747" s="43"/>
      <c r="H747" s="43"/>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c r="AG747" s="44"/>
      <c r="AH747" s="44"/>
      <c r="AI747" s="44"/>
      <c r="AJ747" s="44"/>
      <c r="AK747" s="44"/>
      <c r="AL747" s="44"/>
      <c r="AM747" s="44"/>
      <c r="AN747" s="44"/>
      <c r="AO747" s="44"/>
      <c r="AP747" s="44"/>
      <c r="AQ747" s="44"/>
      <c r="AR747" s="44"/>
      <c r="AS747" s="44"/>
      <c r="AT747" s="44"/>
      <c r="AU747" s="44"/>
      <c r="AV747" s="44"/>
      <c r="AW747" s="44"/>
      <c r="AX747" s="44"/>
      <c r="AY747" s="44"/>
      <c r="AZ747" s="44"/>
      <c r="BA747" s="44"/>
      <c r="BB747" s="44"/>
      <c r="BC747" s="44"/>
      <c r="BD747" s="44"/>
      <c r="BE747" s="44"/>
    </row>
    <row r="748">
      <c r="A748" s="42"/>
      <c r="B748" s="42"/>
      <c r="C748" s="43"/>
      <c r="D748" s="43"/>
      <c r="E748" s="42"/>
      <c r="F748" s="43"/>
      <c r="G748" s="43"/>
      <c r="H748" s="43"/>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c r="AN748" s="44"/>
      <c r="AO748" s="44"/>
      <c r="AP748" s="44"/>
      <c r="AQ748" s="44"/>
      <c r="AR748" s="44"/>
      <c r="AS748" s="44"/>
      <c r="AT748" s="44"/>
      <c r="AU748" s="44"/>
      <c r="AV748" s="44"/>
      <c r="AW748" s="44"/>
      <c r="AX748" s="44"/>
      <c r="AY748" s="44"/>
      <c r="AZ748" s="44"/>
      <c r="BA748" s="44"/>
      <c r="BB748" s="44"/>
      <c r="BC748" s="44"/>
      <c r="BD748" s="44"/>
      <c r="BE748" s="44"/>
    </row>
    <row r="749">
      <c r="A749" s="42"/>
      <c r="B749" s="42"/>
      <c r="C749" s="43"/>
      <c r="D749" s="43"/>
      <c r="E749" s="42"/>
      <c r="F749" s="43"/>
      <c r="G749" s="43"/>
      <c r="H749" s="43"/>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c r="AN749" s="44"/>
      <c r="AO749" s="44"/>
      <c r="AP749" s="44"/>
      <c r="AQ749" s="44"/>
      <c r="AR749" s="44"/>
      <c r="AS749" s="44"/>
      <c r="AT749" s="44"/>
      <c r="AU749" s="44"/>
      <c r="AV749" s="44"/>
      <c r="AW749" s="44"/>
      <c r="AX749" s="44"/>
      <c r="AY749" s="44"/>
      <c r="AZ749" s="44"/>
      <c r="BA749" s="44"/>
      <c r="BB749" s="44"/>
      <c r="BC749" s="44"/>
      <c r="BD749" s="44"/>
      <c r="BE749" s="44"/>
    </row>
    <row r="750">
      <c r="A750" s="42"/>
      <c r="B750" s="42"/>
      <c r="C750" s="43"/>
      <c r="D750" s="43"/>
      <c r="E750" s="42"/>
      <c r="F750" s="43"/>
      <c r="G750" s="43"/>
      <c r="H750" s="43"/>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c r="AG750" s="44"/>
      <c r="AH750" s="44"/>
      <c r="AI750" s="44"/>
      <c r="AJ750" s="44"/>
      <c r="AK750" s="44"/>
      <c r="AL750" s="44"/>
      <c r="AM750" s="44"/>
      <c r="AN750" s="44"/>
      <c r="AO750" s="44"/>
      <c r="AP750" s="44"/>
      <c r="AQ750" s="44"/>
      <c r="AR750" s="44"/>
      <c r="AS750" s="44"/>
      <c r="AT750" s="44"/>
      <c r="AU750" s="44"/>
      <c r="AV750" s="44"/>
      <c r="AW750" s="44"/>
      <c r="AX750" s="44"/>
      <c r="AY750" s="44"/>
      <c r="AZ750" s="44"/>
      <c r="BA750" s="44"/>
      <c r="BB750" s="44"/>
      <c r="BC750" s="44"/>
      <c r="BD750" s="44"/>
      <c r="BE750" s="44"/>
    </row>
    <row r="751">
      <c r="A751" s="42"/>
      <c r="B751" s="42"/>
      <c r="C751" s="43"/>
      <c r="D751" s="43"/>
      <c r="E751" s="42"/>
      <c r="F751" s="43"/>
      <c r="G751" s="43"/>
      <c r="H751" s="43"/>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c r="AG751" s="44"/>
      <c r="AH751" s="44"/>
      <c r="AI751" s="44"/>
      <c r="AJ751" s="44"/>
      <c r="AK751" s="44"/>
      <c r="AL751" s="44"/>
      <c r="AM751" s="44"/>
      <c r="AN751" s="44"/>
      <c r="AO751" s="44"/>
      <c r="AP751" s="44"/>
      <c r="AQ751" s="44"/>
      <c r="AR751" s="44"/>
      <c r="AS751" s="44"/>
      <c r="AT751" s="44"/>
      <c r="AU751" s="44"/>
      <c r="AV751" s="44"/>
      <c r="AW751" s="44"/>
      <c r="AX751" s="44"/>
      <c r="AY751" s="44"/>
      <c r="AZ751" s="44"/>
      <c r="BA751" s="44"/>
      <c r="BB751" s="44"/>
      <c r="BC751" s="44"/>
      <c r="BD751" s="44"/>
      <c r="BE751" s="44"/>
    </row>
    <row r="752">
      <c r="A752" s="42"/>
      <c r="B752" s="42"/>
      <c r="C752" s="43"/>
      <c r="D752" s="43"/>
      <c r="E752" s="42"/>
      <c r="F752" s="43"/>
      <c r="G752" s="43"/>
      <c r="H752" s="43"/>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c r="AN752" s="44"/>
      <c r="AO752" s="44"/>
      <c r="AP752" s="44"/>
      <c r="AQ752" s="44"/>
      <c r="AR752" s="44"/>
      <c r="AS752" s="44"/>
      <c r="AT752" s="44"/>
      <c r="AU752" s="44"/>
      <c r="AV752" s="44"/>
      <c r="AW752" s="44"/>
      <c r="AX752" s="44"/>
      <c r="AY752" s="44"/>
      <c r="AZ752" s="44"/>
      <c r="BA752" s="44"/>
      <c r="BB752" s="44"/>
      <c r="BC752" s="44"/>
      <c r="BD752" s="44"/>
      <c r="BE752" s="44"/>
    </row>
    <row r="753">
      <c r="A753" s="42"/>
      <c r="B753" s="42"/>
      <c r="C753" s="43"/>
      <c r="D753" s="43"/>
      <c r="E753" s="42"/>
      <c r="F753" s="43"/>
      <c r="G753" s="43"/>
      <c r="H753" s="43"/>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c r="AN753" s="44"/>
      <c r="AO753" s="44"/>
      <c r="AP753" s="44"/>
      <c r="AQ753" s="44"/>
      <c r="AR753" s="44"/>
      <c r="AS753" s="44"/>
      <c r="AT753" s="44"/>
      <c r="AU753" s="44"/>
      <c r="AV753" s="44"/>
      <c r="AW753" s="44"/>
      <c r="AX753" s="44"/>
      <c r="AY753" s="44"/>
      <c r="AZ753" s="44"/>
      <c r="BA753" s="44"/>
      <c r="BB753" s="44"/>
      <c r="BC753" s="44"/>
      <c r="BD753" s="44"/>
      <c r="BE753" s="44"/>
    </row>
    <row r="754">
      <c r="A754" s="42"/>
      <c r="B754" s="42"/>
      <c r="C754" s="43"/>
      <c r="D754" s="43"/>
      <c r="E754" s="42"/>
      <c r="F754" s="43"/>
      <c r="G754" s="43"/>
      <c r="H754" s="43"/>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c r="AG754" s="44"/>
      <c r="AH754" s="44"/>
      <c r="AI754" s="44"/>
      <c r="AJ754" s="44"/>
      <c r="AK754" s="44"/>
      <c r="AL754" s="44"/>
      <c r="AM754" s="44"/>
      <c r="AN754" s="44"/>
      <c r="AO754" s="44"/>
      <c r="AP754" s="44"/>
      <c r="AQ754" s="44"/>
      <c r="AR754" s="44"/>
      <c r="AS754" s="44"/>
      <c r="AT754" s="44"/>
      <c r="AU754" s="44"/>
      <c r="AV754" s="44"/>
      <c r="AW754" s="44"/>
      <c r="AX754" s="44"/>
      <c r="AY754" s="44"/>
      <c r="AZ754" s="44"/>
      <c r="BA754" s="44"/>
      <c r="BB754" s="44"/>
      <c r="BC754" s="44"/>
      <c r="BD754" s="44"/>
      <c r="BE754" s="44"/>
    </row>
    <row r="755">
      <c r="A755" s="42"/>
      <c r="B755" s="42"/>
      <c r="C755" s="43"/>
      <c r="D755" s="43"/>
      <c r="E755" s="42"/>
      <c r="F755" s="43"/>
      <c r="G755" s="43"/>
      <c r="H755" s="43"/>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c r="AN755" s="44"/>
      <c r="AO755" s="44"/>
      <c r="AP755" s="44"/>
      <c r="AQ755" s="44"/>
      <c r="AR755" s="44"/>
      <c r="AS755" s="44"/>
      <c r="AT755" s="44"/>
      <c r="AU755" s="44"/>
      <c r="AV755" s="44"/>
      <c r="AW755" s="44"/>
      <c r="AX755" s="44"/>
      <c r="AY755" s="44"/>
      <c r="AZ755" s="44"/>
      <c r="BA755" s="44"/>
      <c r="BB755" s="44"/>
      <c r="BC755" s="44"/>
      <c r="BD755" s="44"/>
      <c r="BE755" s="44"/>
    </row>
    <row r="756">
      <c r="A756" s="42"/>
      <c r="B756" s="42"/>
      <c r="C756" s="43"/>
      <c r="D756" s="43"/>
      <c r="E756" s="42"/>
      <c r="F756" s="43"/>
      <c r="G756" s="43"/>
      <c r="H756" s="43"/>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c r="AN756" s="44"/>
      <c r="AO756" s="44"/>
      <c r="AP756" s="44"/>
      <c r="AQ756" s="44"/>
      <c r="AR756" s="44"/>
      <c r="AS756" s="44"/>
      <c r="AT756" s="44"/>
      <c r="AU756" s="44"/>
      <c r="AV756" s="44"/>
      <c r="AW756" s="44"/>
      <c r="AX756" s="44"/>
      <c r="AY756" s="44"/>
      <c r="AZ756" s="44"/>
      <c r="BA756" s="44"/>
      <c r="BB756" s="44"/>
      <c r="BC756" s="44"/>
      <c r="BD756" s="44"/>
      <c r="BE756" s="44"/>
    </row>
    <row r="757">
      <c r="A757" s="42"/>
      <c r="B757" s="42"/>
      <c r="C757" s="43"/>
      <c r="D757" s="43"/>
      <c r="E757" s="42"/>
      <c r="F757" s="43"/>
      <c r="G757" s="43"/>
      <c r="H757" s="43"/>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4"/>
      <c r="AM757" s="44"/>
      <c r="AN757" s="44"/>
      <c r="AO757" s="44"/>
      <c r="AP757" s="44"/>
      <c r="AQ757" s="44"/>
      <c r="AR757" s="44"/>
      <c r="AS757" s="44"/>
      <c r="AT757" s="44"/>
      <c r="AU757" s="44"/>
      <c r="AV757" s="44"/>
      <c r="AW757" s="44"/>
      <c r="AX757" s="44"/>
      <c r="AY757" s="44"/>
      <c r="AZ757" s="44"/>
      <c r="BA757" s="44"/>
      <c r="BB757" s="44"/>
      <c r="BC757" s="44"/>
      <c r="BD757" s="44"/>
      <c r="BE757" s="44"/>
    </row>
    <row r="758">
      <c r="A758" s="42"/>
      <c r="B758" s="42"/>
      <c r="C758" s="43"/>
      <c r="D758" s="43"/>
      <c r="E758" s="42"/>
      <c r="F758" s="43"/>
      <c r="G758" s="43"/>
      <c r="H758" s="43"/>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c r="AN758" s="44"/>
      <c r="AO758" s="44"/>
      <c r="AP758" s="44"/>
      <c r="AQ758" s="44"/>
      <c r="AR758" s="44"/>
      <c r="AS758" s="44"/>
      <c r="AT758" s="44"/>
      <c r="AU758" s="44"/>
      <c r="AV758" s="44"/>
      <c r="AW758" s="44"/>
      <c r="AX758" s="44"/>
      <c r="AY758" s="44"/>
      <c r="AZ758" s="44"/>
      <c r="BA758" s="44"/>
      <c r="BB758" s="44"/>
      <c r="BC758" s="44"/>
      <c r="BD758" s="44"/>
      <c r="BE758" s="44"/>
    </row>
    <row r="759">
      <c r="A759" s="42"/>
      <c r="B759" s="42"/>
      <c r="C759" s="43"/>
      <c r="D759" s="43"/>
      <c r="E759" s="42"/>
      <c r="F759" s="43"/>
      <c r="G759" s="43"/>
      <c r="H759" s="43"/>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c r="AN759" s="44"/>
      <c r="AO759" s="44"/>
      <c r="AP759" s="44"/>
      <c r="AQ759" s="44"/>
      <c r="AR759" s="44"/>
      <c r="AS759" s="44"/>
      <c r="AT759" s="44"/>
      <c r="AU759" s="44"/>
      <c r="AV759" s="44"/>
      <c r="AW759" s="44"/>
      <c r="AX759" s="44"/>
      <c r="AY759" s="44"/>
      <c r="AZ759" s="44"/>
      <c r="BA759" s="44"/>
      <c r="BB759" s="44"/>
      <c r="BC759" s="44"/>
      <c r="BD759" s="44"/>
      <c r="BE759" s="44"/>
    </row>
    <row r="760">
      <c r="A760" s="42"/>
      <c r="B760" s="42"/>
      <c r="C760" s="43"/>
      <c r="D760" s="43"/>
      <c r="E760" s="42"/>
      <c r="F760" s="43"/>
      <c r="G760" s="43"/>
      <c r="H760" s="43"/>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c r="AG760" s="44"/>
      <c r="AH760" s="44"/>
      <c r="AI760" s="44"/>
      <c r="AJ760" s="44"/>
      <c r="AK760" s="44"/>
      <c r="AL760" s="44"/>
      <c r="AM760" s="44"/>
      <c r="AN760" s="44"/>
      <c r="AO760" s="44"/>
      <c r="AP760" s="44"/>
      <c r="AQ760" s="44"/>
      <c r="AR760" s="44"/>
      <c r="AS760" s="44"/>
      <c r="AT760" s="44"/>
      <c r="AU760" s="44"/>
      <c r="AV760" s="44"/>
      <c r="AW760" s="44"/>
      <c r="AX760" s="44"/>
      <c r="AY760" s="44"/>
      <c r="AZ760" s="44"/>
      <c r="BA760" s="44"/>
      <c r="BB760" s="44"/>
      <c r="BC760" s="44"/>
      <c r="BD760" s="44"/>
      <c r="BE760" s="44"/>
    </row>
    <row r="761">
      <c r="A761" s="42"/>
      <c r="B761" s="42"/>
      <c r="C761" s="43"/>
      <c r="D761" s="43"/>
      <c r="E761" s="42"/>
      <c r="F761" s="43"/>
      <c r="G761" s="43"/>
      <c r="H761" s="43"/>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44"/>
      <c r="AS761" s="44"/>
      <c r="AT761" s="44"/>
      <c r="AU761" s="44"/>
      <c r="AV761" s="44"/>
      <c r="AW761" s="44"/>
      <c r="AX761" s="44"/>
      <c r="AY761" s="44"/>
      <c r="AZ761" s="44"/>
      <c r="BA761" s="44"/>
      <c r="BB761" s="44"/>
      <c r="BC761" s="44"/>
      <c r="BD761" s="44"/>
      <c r="BE761" s="44"/>
    </row>
    <row r="762">
      <c r="A762" s="42"/>
      <c r="B762" s="42"/>
      <c r="C762" s="43"/>
      <c r="D762" s="43"/>
      <c r="E762" s="42"/>
      <c r="F762" s="43"/>
      <c r="G762" s="43"/>
      <c r="H762" s="43"/>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c r="AN762" s="44"/>
      <c r="AO762" s="44"/>
      <c r="AP762" s="44"/>
      <c r="AQ762" s="44"/>
      <c r="AR762" s="44"/>
      <c r="AS762" s="44"/>
      <c r="AT762" s="44"/>
      <c r="AU762" s="44"/>
      <c r="AV762" s="44"/>
      <c r="AW762" s="44"/>
      <c r="AX762" s="44"/>
      <c r="AY762" s="44"/>
      <c r="AZ762" s="44"/>
      <c r="BA762" s="44"/>
      <c r="BB762" s="44"/>
      <c r="BC762" s="44"/>
      <c r="BD762" s="44"/>
      <c r="BE762" s="44"/>
    </row>
    <row r="763">
      <c r="A763" s="42"/>
      <c r="B763" s="42"/>
      <c r="C763" s="43"/>
      <c r="D763" s="43"/>
      <c r="E763" s="42"/>
      <c r="F763" s="43"/>
      <c r="G763" s="43"/>
      <c r="H763" s="43"/>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c r="AR763" s="44"/>
      <c r="AS763" s="44"/>
      <c r="AT763" s="44"/>
      <c r="AU763" s="44"/>
      <c r="AV763" s="44"/>
      <c r="AW763" s="44"/>
      <c r="AX763" s="44"/>
      <c r="AY763" s="44"/>
      <c r="AZ763" s="44"/>
      <c r="BA763" s="44"/>
      <c r="BB763" s="44"/>
      <c r="BC763" s="44"/>
      <c r="BD763" s="44"/>
      <c r="BE763" s="44"/>
    </row>
    <row r="764">
      <c r="A764" s="42"/>
      <c r="B764" s="42"/>
      <c r="C764" s="43"/>
      <c r="D764" s="43"/>
      <c r="E764" s="42"/>
      <c r="F764" s="43"/>
      <c r="G764" s="43"/>
      <c r="H764" s="43"/>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c r="AM764" s="44"/>
      <c r="AN764" s="44"/>
      <c r="AO764" s="44"/>
      <c r="AP764" s="44"/>
      <c r="AQ764" s="44"/>
      <c r="AR764" s="44"/>
      <c r="AS764" s="44"/>
      <c r="AT764" s="44"/>
      <c r="AU764" s="44"/>
      <c r="AV764" s="44"/>
      <c r="AW764" s="44"/>
      <c r="AX764" s="44"/>
      <c r="AY764" s="44"/>
      <c r="AZ764" s="44"/>
      <c r="BA764" s="44"/>
      <c r="BB764" s="44"/>
      <c r="BC764" s="44"/>
      <c r="BD764" s="44"/>
      <c r="BE764" s="44"/>
    </row>
    <row r="765">
      <c r="A765" s="42"/>
      <c r="B765" s="42"/>
      <c r="C765" s="43"/>
      <c r="D765" s="43"/>
      <c r="E765" s="42"/>
      <c r="F765" s="43"/>
      <c r="G765" s="43"/>
      <c r="H765" s="43"/>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c r="AG765" s="44"/>
      <c r="AH765" s="44"/>
      <c r="AI765" s="44"/>
      <c r="AJ765" s="44"/>
      <c r="AK765" s="44"/>
      <c r="AL765" s="44"/>
      <c r="AM765" s="44"/>
      <c r="AN765" s="44"/>
      <c r="AO765" s="44"/>
      <c r="AP765" s="44"/>
      <c r="AQ765" s="44"/>
      <c r="AR765" s="44"/>
      <c r="AS765" s="44"/>
      <c r="AT765" s="44"/>
      <c r="AU765" s="44"/>
      <c r="AV765" s="44"/>
      <c r="AW765" s="44"/>
      <c r="AX765" s="44"/>
      <c r="AY765" s="44"/>
      <c r="AZ765" s="44"/>
      <c r="BA765" s="44"/>
      <c r="BB765" s="44"/>
      <c r="BC765" s="44"/>
      <c r="BD765" s="44"/>
      <c r="BE765" s="44"/>
    </row>
    <row r="766">
      <c r="A766" s="42"/>
      <c r="B766" s="42"/>
      <c r="C766" s="43"/>
      <c r="D766" s="43"/>
      <c r="E766" s="42"/>
      <c r="F766" s="43"/>
      <c r="G766" s="43"/>
      <c r="H766" s="43"/>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c r="AG766" s="44"/>
      <c r="AH766" s="44"/>
      <c r="AI766" s="44"/>
      <c r="AJ766" s="44"/>
      <c r="AK766" s="44"/>
      <c r="AL766" s="44"/>
      <c r="AM766" s="44"/>
      <c r="AN766" s="44"/>
      <c r="AO766" s="44"/>
      <c r="AP766" s="44"/>
      <c r="AQ766" s="44"/>
      <c r="AR766" s="44"/>
      <c r="AS766" s="44"/>
      <c r="AT766" s="44"/>
      <c r="AU766" s="44"/>
      <c r="AV766" s="44"/>
      <c r="AW766" s="44"/>
      <c r="AX766" s="44"/>
      <c r="AY766" s="44"/>
      <c r="AZ766" s="44"/>
      <c r="BA766" s="44"/>
      <c r="BB766" s="44"/>
      <c r="BC766" s="44"/>
      <c r="BD766" s="44"/>
      <c r="BE766" s="44"/>
    </row>
    <row r="767">
      <c r="A767" s="42"/>
      <c r="B767" s="42"/>
      <c r="C767" s="43"/>
      <c r="D767" s="43"/>
      <c r="E767" s="42"/>
      <c r="F767" s="43"/>
      <c r="G767" s="43"/>
      <c r="H767" s="43"/>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c r="AN767" s="44"/>
      <c r="AO767" s="44"/>
      <c r="AP767" s="44"/>
      <c r="AQ767" s="44"/>
      <c r="AR767" s="44"/>
      <c r="AS767" s="44"/>
      <c r="AT767" s="44"/>
      <c r="AU767" s="44"/>
      <c r="AV767" s="44"/>
      <c r="AW767" s="44"/>
      <c r="AX767" s="44"/>
      <c r="AY767" s="44"/>
      <c r="AZ767" s="44"/>
      <c r="BA767" s="44"/>
      <c r="BB767" s="44"/>
      <c r="BC767" s="44"/>
      <c r="BD767" s="44"/>
      <c r="BE767" s="44"/>
    </row>
    <row r="768">
      <c r="A768" s="42"/>
      <c r="B768" s="42"/>
      <c r="C768" s="43"/>
      <c r="D768" s="43"/>
      <c r="E768" s="42"/>
      <c r="F768" s="43"/>
      <c r="G768" s="43"/>
      <c r="H768" s="43"/>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44"/>
      <c r="AO768" s="44"/>
      <c r="AP768" s="44"/>
      <c r="AQ768" s="44"/>
      <c r="AR768" s="44"/>
      <c r="AS768" s="44"/>
      <c r="AT768" s="44"/>
      <c r="AU768" s="44"/>
      <c r="AV768" s="44"/>
      <c r="AW768" s="44"/>
      <c r="AX768" s="44"/>
      <c r="AY768" s="44"/>
      <c r="AZ768" s="44"/>
      <c r="BA768" s="44"/>
      <c r="BB768" s="44"/>
      <c r="BC768" s="44"/>
      <c r="BD768" s="44"/>
      <c r="BE768" s="44"/>
    </row>
    <row r="769">
      <c r="A769" s="42"/>
      <c r="B769" s="42"/>
      <c r="C769" s="43"/>
      <c r="D769" s="43"/>
      <c r="E769" s="42"/>
      <c r="F769" s="43"/>
      <c r="G769" s="43"/>
      <c r="H769" s="43"/>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c r="AG769" s="44"/>
      <c r="AH769" s="44"/>
      <c r="AI769" s="44"/>
      <c r="AJ769" s="44"/>
      <c r="AK769" s="44"/>
      <c r="AL769" s="44"/>
      <c r="AM769" s="44"/>
      <c r="AN769" s="44"/>
      <c r="AO769" s="44"/>
      <c r="AP769" s="44"/>
      <c r="AQ769" s="44"/>
      <c r="AR769" s="44"/>
      <c r="AS769" s="44"/>
      <c r="AT769" s="44"/>
      <c r="AU769" s="44"/>
      <c r="AV769" s="44"/>
      <c r="AW769" s="44"/>
      <c r="AX769" s="44"/>
      <c r="AY769" s="44"/>
      <c r="AZ769" s="44"/>
      <c r="BA769" s="44"/>
      <c r="BB769" s="44"/>
      <c r="BC769" s="44"/>
      <c r="BD769" s="44"/>
      <c r="BE769" s="44"/>
    </row>
    <row r="770">
      <c r="A770" s="42"/>
      <c r="B770" s="42"/>
      <c r="C770" s="43"/>
      <c r="D770" s="43"/>
      <c r="E770" s="42"/>
      <c r="F770" s="43"/>
      <c r="G770" s="43"/>
      <c r="H770" s="43"/>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c r="AN770" s="44"/>
      <c r="AO770" s="44"/>
      <c r="AP770" s="44"/>
      <c r="AQ770" s="44"/>
      <c r="AR770" s="44"/>
      <c r="AS770" s="44"/>
      <c r="AT770" s="44"/>
      <c r="AU770" s="44"/>
      <c r="AV770" s="44"/>
      <c r="AW770" s="44"/>
      <c r="AX770" s="44"/>
      <c r="AY770" s="44"/>
      <c r="AZ770" s="44"/>
      <c r="BA770" s="44"/>
      <c r="BB770" s="44"/>
      <c r="BC770" s="44"/>
      <c r="BD770" s="44"/>
      <c r="BE770" s="44"/>
    </row>
    <row r="771">
      <c r="A771" s="42"/>
      <c r="B771" s="42"/>
      <c r="C771" s="43"/>
      <c r="D771" s="43"/>
      <c r="E771" s="42"/>
      <c r="F771" s="43"/>
      <c r="G771" s="43"/>
      <c r="H771" s="43"/>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c r="AG771" s="44"/>
      <c r="AH771" s="44"/>
      <c r="AI771" s="44"/>
      <c r="AJ771" s="44"/>
      <c r="AK771" s="44"/>
      <c r="AL771" s="44"/>
      <c r="AM771" s="44"/>
      <c r="AN771" s="44"/>
      <c r="AO771" s="44"/>
      <c r="AP771" s="44"/>
      <c r="AQ771" s="44"/>
      <c r="AR771" s="44"/>
      <c r="AS771" s="44"/>
      <c r="AT771" s="44"/>
      <c r="AU771" s="44"/>
      <c r="AV771" s="44"/>
      <c r="AW771" s="44"/>
      <c r="AX771" s="44"/>
      <c r="AY771" s="44"/>
      <c r="AZ771" s="44"/>
      <c r="BA771" s="44"/>
      <c r="BB771" s="44"/>
      <c r="BC771" s="44"/>
      <c r="BD771" s="44"/>
      <c r="BE771" s="44"/>
    </row>
    <row r="772">
      <c r="A772" s="42"/>
      <c r="B772" s="42"/>
      <c r="C772" s="43"/>
      <c r="D772" s="43"/>
      <c r="E772" s="42"/>
      <c r="F772" s="43"/>
      <c r="G772" s="43"/>
      <c r="H772" s="43"/>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c r="AN772" s="44"/>
      <c r="AO772" s="44"/>
      <c r="AP772" s="44"/>
      <c r="AQ772" s="44"/>
      <c r="AR772" s="44"/>
      <c r="AS772" s="44"/>
      <c r="AT772" s="44"/>
      <c r="AU772" s="44"/>
      <c r="AV772" s="44"/>
      <c r="AW772" s="44"/>
      <c r="AX772" s="44"/>
      <c r="AY772" s="44"/>
      <c r="AZ772" s="44"/>
      <c r="BA772" s="44"/>
      <c r="BB772" s="44"/>
      <c r="BC772" s="44"/>
      <c r="BD772" s="44"/>
      <c r="BE772" s="44"/>
    </row>
    <row r="773">
      <c r="A773" s="42"/>
      <c r="B773" s="42"/>
      <c r="C773" s="43"/>
      <c r="D773" s="43"/>
      <c r="E773" s="42"/>
      <c r="F773" s="43"/>
      <c r="G773" s="43"/>
      <c r="H773" s="43"/>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c r="AN773" s="44"/>
      <c r="AO773" s="44"/>
      <c r="AP773" s="44"/>
      <c r="AQ773" s="44"/>
      <c r="AR773" s="44"/>
      <c r="AS773" s="44"/>
      <c r="AT773" s="44"/>
      <c r="AU773" s="44"/>
      <c r="AV773" s="44"/>
      <c r="AW773" s="44"/>
      <c r="AX773" s="44"/>
      <c r="AY773" s="44"/>
      <c r="AZ773" s="44"/>
      <c r="BA773" s="44"/>
      <c r="BB773" s="44"/>
      <c r="BC773" s="44"/>
      <c r="BD773" s="44"/>
      <c r="BE773" s="44"/>
    </row>
    <row r="774">
      <c r="A774" s="42"/>
      <c r="B774" s="42"/>
      <c r="C774" s="43"/>
      <c r="D774" s="43"/>
      <c r="E774" s="42"/>
      <c r="F774" s="43"/>
      <c r="G774" s="43"/>
      <c r="H774" s="43"/>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c r="AG774" s="44"/>
      <c r="AH774" s="44"/>
      <c r="AI774" s="44"/>
      <c r="AJ774" s="44"/>
      <c r="AK774" s="44"/>
      <c r="AL774" s="44"/>
      <c r="AM774" s="44"/>
      <c r="AN774" s="44"/>
      <c r="AO774" s="44"/>
      <c r="AP774" s="44"/>
      <c r="AQ774" s="44"/>
      <c r="AR774" s="44"/>
      <c r="AS774" s="44"/>
      <c r="AT774" s="44"/>
      <c r="AU774" s="44"/>
      <c r="AV774" s="44"/>
      <c r="AW774" s="44"/>
      <c r="AX774" s="44"/>
      <c r="AY774" s="44"/>
      <c r="AZ774" s="44"/>
      <c r="BA774" s="44"/>
      <c r="BB774" s="44"/>
      <c r="BC774" s="44"/>
      <c r="BD774" s="44"/>
      <c r="BE774" s="44"/>
    </row>
    <row r="775">
      <c r="A775" s="42"/>
      <c r="B775" s="42"/>
      <c r="C775" s="43"/>
      <c r="D775" s="43"/>
      <c r="E775" s="42"/>
      <c r="F775" s="43"/>
      <c r="G775" s="43"/>
      <c r="H775" s="43"/>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c r="AG775" s="44"/>
      <c r="AH775" s="44"/>
      <c r="AI775" s="44"/>
      <c r="AJ775" s="44"/>
      <c r="AK775" s="44"/>
      <c r="AL775" s="44"/>
      <c r="AM775" s="44"/>
      <c r="AN775" s="44"/>
      <c r="AO775" s="44"/>
      <c r="AP775" s="44"/>
      <c r="AQ775" s="44"/>
      <c r="AR775" s="44"/>
      <c r="AS775" s="44"/>
      <c r="AT775" s="44"/>
      <c r="AU775" s="44"/>
      <c r="AV775" s="44"/>
      <c r="AW775" s="44"/>
      <c r="AX775" s="44"/>
      <c r="AY775" s="44"/>
      <c r="AZ775" s="44"/>
      <c r="BA775" s="44"/>
      <c r="BB775" s="44"/>
      <c r="BC775" s="44"/>
      <c r="BD775" s="44"/>
      <c r="BE775" s="44"/>
    </row>
    <row r="776">
      <c r="A776" s="42"/>
      <c r="B776" s="42"/>
      <c r="C776" s="43"/>
      <c r="D776" s="43"/>
      <c r="E776" s="42"/>
      <c r="F776" s="43"/>
      <c r="G776" s="43"/>
      <c r="H776" s="43"/>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c r="AN776" s="44"/>
      <c r="AO776" s="44"/>
      <c r="AP776" s="44"/>
      <c r="AQ776" s="44"/>
      <c r="AR776" s="44"/>
      <c r="AS776" s="44"/>
      <c r="AT776" s="44"/>
      <c r="AU776" s="44"/>
      <c r="AV776" s="44"/>
      <c r="AW776" s="44"/>
      <c r="AX776" s="44"/>
      <c r="AY776" s="44"/>
      <c r="AZ776" s="44"/>
      <c r="BA776" s="44"/>
      <c r="BB776" s="44"/>
      <c r="BC776" s="44"/>
      <c r="BD776" s="44"/>
      <c r="BE776" s="44"/>
    </row>
    <row r="777">
      <c r="A777" s="42"/>
      <c r="B777" s="42"/>
      <c r="C777" s="43"/>
      <c r="D777" s="43"/>
      <c r="E777" s="42"/>
      <c r="F777" s="43"/>
      <c r="G777" s="43"/>
      <c r="H777" s="43"/>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c r="AS777" s="44"/>
      <c r="AT777" s="44"/>
      <c r="AU777" s="44"/>
      <c r="AV777" s="44"/>
      <c r="AW777" s="44"/>
      <c r="AX777" s="44"/>
      <c r="AY777" s="44"/>
      <c r="AZ777" s="44"/>
      <c r="BA777" s="44"/>
      <c r="BB777" s="44"/>
      <c r="BC777" s="44"/>
      <c r="BD777" s="44"/>
      <c r="BE777" s="44"/>
    </row>
    <row r="778">
      <c r="A778" s="42"/>
      <c r="B778" s="42"/>
      <c r="C778" s="43"/>
      <c r="D778" s="43"/>
      <c r="E778" s="42"/>
      <c r="F778" s="43"/>
      <c r="G778" s="43"/>
      <c r="H778" s="43"/>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c r="AY778" s="44"/>
      <c r="AZ778" s="44"/>
      <c r="BA778" s="44"/>
      <c r="BB778" s="44"/>
      <c r="BC778" s="44"/>
      <c r="BD778" s="44"/>
      <c r="BE778" s="44"/>
    </row>
    <row r="779">
      <c r="A779" s="42"/>
      <c r="B779" s="42"/>
      <c r="C779" s="43"/>
      <c r="D779" s="43"/>
      <c r="E779" s="42"/>
      <c r="F779" s="43"/>
      <c r="G779" s="43"/>
      <c r="H779" s="43"/>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4"/>
      <c r="BE779" s="44"/>
    </row>
    <row r="780">
      <c r="A780" s="42"/>
      <c r="B780" s="42"/>
      <c r="C780" s="43"/>
      <c r="D780" s="43"/>
      <c r="E780" s="42"/>
      <c r="F780" s="43"/>
      <c r="G780" s="43"/>
      <c r="H780" s="43"/>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c r="AN780" s="44"/>
      <c r="AO780" s="44"/>
      <c r="AP780" s="44"/>
      <c r="AQ780" s="44"/>
      <c r="AR780" s="44"/>
      <c r="AS780" s="44"/>
      <c r="AT780" s="44"/>
      <c r="AU780" s="44"/>
      <c r="AV780" s="44"/>
      <c r="AW780" s="44"/>
      <c r="AX780" s="44"/>
      <c r="AY780" s="44"/>
      <c r="AZ780" s="44"/>
      <c r="BA780" s="44"/>
      <c r="BB780" s="44"/>
      <c r="BC780" s="44"/>
      <c r="BD780" s="44"/>
      <c r="BE780" s="44"/>
    </row>
    <row r="781">
      <c r="A781" s="42"/>
      <c r="B781" s="42"/>
      <c r="C781" s="43"/>
      <c r="D781" s="43"/>
      <c r="E781" s="42"/>
      <c r="F781" s="43"/>
      <c r="G781" s="43"/>
      <c r="H781" s="43"/>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c r="AR781" s="44"/>
      <c r="AS781" s="44"/>
      <c r="AT781" s="44"/>
      <c r="AU781" s="44"/>
      <c r="AV781" s="44"/>
      <c r="AW781" s="44"/>
      <c r="AX781" s="44"/>
      <c r="AY781" s="44"/>
      <c r="AZ781" s="44"/>
      <c r="BA781" s="44"/>
      <c r="BB781" s="44"/>
      <c r="BC781" s="44"/>
      <c r="BD781" s="44"/>
      <c r="BE781" s="44"/>
    </row>
    <row r="782">
      <c r="A782" s="42"/>
      <c r="B782" s="42"/>
      <c r="C782" s="43"/>
      <c r="D782" s="43"/>
      <c r="E782" s="42"/>
      <c r="F782" s="43"/>
      <c r="G782" s="43"/>
      <c r="H782" s="43"/>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4"/>
      <c r="BE782" s="44"/>
    </row>
    <row r="783">
      <c r="A783" s="42"/>
      <c r="B783" s="42"/>
      <c r="C783" s="43"/>
      <c r="D783" s="43"/>
      <c r="E783" s="42"/>
      <c r="F783" s="43"/>
      <c r="G783" s="43"/>
      <c r="H783" s="43"/>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c r="AS783" s="44"/>
      <c r="AT783" s="44"/>
      <c r="AU783" s="44"/>
      <c r="AV783" s="44"/>
      <c r="AW783" s="44"/>
      <c r="AX783" s="44"/>
      <c r="AY783" s="44"/>
      <c r="AZ783" s="44"/>
      <c r="BA783" s="44"/>
      <c r="BB783" s="44"/>
      <c r="BC783" s="44"/>
      <c r="BD783" s="44"/>
      <c r="BE783" s="44"/>
    </row>
    <row r="784">
      <c r="A784" s="42"/>
      <c r="B784" s="42"/>
      <c r="C784" s="43"/>
      <c r="D784" s="43"/>
      <c r="E784" s="42"/>
      <c r="F784" s="43"/>
      <c r="G784" s="43"/>
      <c r="H784" s="43"/>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c r="AY784" s="44"/>
      <c r="AZ784" s="44"/>
      <c r="BA784" s="44"/>
      <c r="BB784" s="44"/>
      <c r="BC784" s="44"/>
      <c r="BD784" s="44"/>
      <c r="BE784" s="44"/>
    </row>
    <row r="785">
      <c r="A785" s="42"/>
      <c r="B785" s="42"/>
      <c r="C785" s="43"/>
      <c r="D785" s="43"/>
      <c r="E785" s="42"/>
      <c r="F785" s="43"/>
      <c r="G785" s="43"/>
      <c r="H785" s="43"/>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row>
    <row r="786">
      <c r="A786" s="42"/>
      <c r="B786" s="42"/>
      <c r="C786" s="43"/>
      <c r="D786" s="43"/>
      <c r="E786" s="42"/>
      <c r="F786" s="43"/>
      <c r="G786" s="43"/>
      <c r="H786" s="43"/>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c r="AS786" s="44"/>
      <c r="AT786" s="44"/>
      <c r="AU786" s="44"/>
      <c r="AV786" s="44"/>
      <c r="AW786" s="44"/>
      <c r="AX786" s="44"/>
      <c r="AY786" s="44"/>
      <c r="AZ786" s="44"/>
      <c r="BA786" s="44"/>
      <c r="BB786" s="44"/>
      <c r="BC786" s="44"/>
      <c r="BD786" s="44"/>
      <c r="BE786" s="44"/>
    </row>
    <row r="787">
      <c r="A787" s="42"/>
      <c r="B787" s="42"/>
      <c r="C787" s="43"/>
      <c r="D787" s="43"/>
      <c r="E787" s="42"/>
      <c r="F787" s="43"/>
      <c r="G787" s="43"/>
      <c r="H787" s="43"/>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c r="AN787" s="44"/>
      <c r="AO787" s="44"/>
      <c r="AP787" s="44"/>
      <c r="AQ787" s="44"/>
      <c r="AR787" s="44"/>
      <c r="AS787" s="44"/>
      <c r="AT787" s="44"/>
      <c r="AU787" s="44"/>
      <c r="AV787" s="44"/>
      <c r="AW787" s="44"/>
      <c r="AX787" s="44"/>
      <c r="AY787" s="44"/>
      <c r="AZ787" s="44"/>
      <c r="BA787" s="44"/>
      <c r="BB787" s="44"/>
      <c r="BC787" s="44"/>
      <c r="BD787" s="44"/>
      <c r="BE787" s="44"/>
    </row>
    <row r="788">
      <c r="A788" s="42"/>
      <c r="B788" s="42"/>
      <c r="C788" s="43"/>
      <c r="D788" s="43"/>
      <c r="E788" s="42"/>
      <c r="F788" s="43"/>
      <c r="G788" s="43"/>
      <c r="H788" s="43"/>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c r="AR788" s="44"/>
      <c r="AS788" s="44"/>
      <c r="AT788" s="44"/>
      <c r="AU788" s="44"/>
      <c r="AV788" s="44"/>
      <c r="AW788" s="44"/>
      <c r="AX788" s="44"/>
      <c r="AY788" s="44"/>
      <c r="AZ788" s="44"/>
      <c r="BA788" s="44"/>
      <c r="BB788" s="44"/>
      <c r="BC788" s="44"/>
      <c r="BD788" s="44"/>
      <c r="BE788" s="44"/>
    </row>
    <row r="789">
      <c r="A789" s="42"/>
      <c r="B789" s="42"/>
      <c r="C789" s="43"/>
      <c r="D789" s="43"/>
      <c r="E789" s="42"/>
      <c r="F789" s="43"/>
      <c r="G789" s="43"/>
      <c r="H789" s="43"/>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c r="AY789" s="44"/>
      <c r="AZ789" s="44"/>
      <c r="BA789" s="44"/>
      <c r="BB789" s="44"/>
      <c r="BC789" s="44"/>
      <c r="BD789" s="44"/>
      <c r="BE789" s="44"/>
    </row>
    <row r="790">
      <c r="A790" s="42"/>
      <c r="B790" s="42"/>
      <c r="C790" s="43"/>
      <c r="D790" s="43"/>
      <c r="E790" s="42"/>
      <c r="F790" s="43"/>
      <c r="G790" s="43"/>
      <c r="H790" s="43"/>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c r="AS790" s="44"/>
      <c r="AT790" s="44"/>
      <c r="AU790" s="44"/>
      <c r="AV790" s="44"/>
      <c r="AW790" s="44"/>
      <c r="AX790" s="44"/>
      <c r="AY790" s="44"/>
      <c r="AZ790" s="44"/>
      <c r="BA790" s="44"/>
      <c r="BB790" s="44"/>
      <c r="BC790" s="44"/>
      <c r="BD790" s="44"/>
      <c r="BE790" s="44"/>
    </row>
    <row r="791">
      <c r="A791" s="42"/>
      <c r="B791" s="42"/>
      <c r="C791" s="43"/>
      <c r="D791" s="43"/>
      <c r="E791" s="42"/>
      <c r="F791" s="43"/>
      <c r="G791" s="43"/>
      <c r="H791" s="43"/>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44"/>
      <c r="BE791" s="44"/>
    </row>
    <row r="792">
      <c r="A792" s="42"/>
      <c r="B792" s="42"/>
      <c r="C792" s="43"/>
      <c r="D792" s="43"/>
      <c r="E792" s="42"/>
      <c r="F792" s="43"/>
      <c r="G792" s="43"/>
      <c r="H792" s="43"/>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c r="AY792" s="44"/>
      <c r="AZ792" s="44"/>
      <c r="BA792" s="44"/>
      <c r="BB792" s="44"/>
      <c r="BC792" s="44"/>
      <c r="BD792" s="44"/>
      <c r="BE792" s="44"/>
    </row>
    <row r="793">
      <c r="A793" s="42"/>
      <c r="B793" s="42"/>
      <c r="C793" s="43"/>
      <c r="D793" s="43"/>
      <c r="E793" s="42"/>
      <c r="F793" s="43"/>
      <c r="G793" s="43"/>
      <c r="H793" s="43"/>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c r="AY793" s="44"/>
      <c r="AZ793" s="44"/>
      <c r="BA793" s="44"/>
      <c r="BB793" s="44"/>
      <c r="BC793" s="44"/>
      <c r="BD793" s="44"/>
      <c r="BE793" s="44"/>
    </row>
    <row r="794">
      <c r="A794" s="42"/>
      <c r="B794" s="42"/>
      <c r="C794" s="43"/>
      <c r="D794" s="43"/>
      <c r="E794" s="42"/>
      <c r="F794" s="43"/>
      <c r="G794" s="43"/>
      <c r="H794" s="43"/>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c r="AN794" s="44"/>
      <c r="AO794" s="44"/>
      <c r="AP794" s="44"/>
      <c r="AQ794" s="44"/>
      <c r="AR794" s="44"/>
      <c r="AS794" s="44"/>
      <c r="AT794" s="44"/>
      <c r="AU794" s="44"/>
      <c r="AV794" s="44"/>
      <c r="AW794" s="44"/>
      <c r="AX794" s="44"/>
      <c r="AY794" s="44"/>
      <c r="AZ794" s="44"/>
      <c r="BA794" s="44"/>
      <c r="BB794" s="44"/>
      <c r="BC794" s="44"/>
      <c r="BD794" s="44"/>
      <c r="BE794" s="44"/>
    </row>
    <row r="795">
      <c r="A795" s="42"/>
      <c r="B795" s="42"/>
      <c r="C795" s="43"/>
      <c r="D795" s="43"/>
      <c r="E795" s="42"/>
      <c r="F795" s="43"/>
      <c r="G795" s="43"/>
      <c r="H795" s="43"/>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c r="AN795" s="44"/>
      <c r="AO795" s="44"/>
      <c r="AP795" s="44"/>
      <c r="AQ795" s="44"/>
      <c r="AR795" s="44"/>
      <c r="AS795" s="44"/>
      <c r="AT795" s="44"/>
      <c r="AU795" s="44"/>
      <c r="AV795" s="44"/>
      <c r="AW795" s="44"/>
      <c r="AX795" s="44"/>
      <c r="AY795" s="44"/>
      <c r="AZ795" s="44"/>
      <c r="BA795" s="44"/>
      <c r="BB795" s="44"/>
      <c r="BC795" s="44"/>
      <c r="BD795" s="44"/>
      <c r="BE795" s="44"/>
    </row>
    <row r="796">
      <c r="A796" s="42"/>
      <c r="B796" s="42"/>
      <c r="C796" s="43"/>
      <c r="D796" s="43"/>
      <c r="E796" s="42"/>
      <c r="F796" s="43"/>
      <c r="G796" s="43"/>
      <c r="H796" s="43"/>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c r="AR796" s="44"/>
      <c r="AS796" s="44"/>
      <c r="AT796" s="44"/>
      <c r="AU796" s="44"/>
      <c r="AV796" s="44"/>
      <c r="AW796" s="44"/>
      <c r="AX796" s="44"/>
      <c r="AY796" s="44"/>
      <c r="AZ796" s="44"/>
      <c r="BA796" s="44"/>
      <c r="BB796" s="44"/>
      <c r="BC796" s="44"/>
      <c r="BD796" s="44"/>
      <c r="BE796" s="44"/>
    </row>
    <row r="797">
      <c r="A797" s="42"/>
      <c r="B797" s="42"/>
      <c r="C797" s="43"/>
      <c r="D797" s="43"/>
      <c r="E797" s="42"/>
      <c r="F797" s="43"/>
      <c r="G797" s="43"/>
      <c r="H797" s="43"/>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4"/>
      <c r="BE797" s="44"/>
    </row>
    <row r="798">
      <c r="A798" s="42"/>
      <c r="B798" s="42"/>
      <c r="C798" s="43"/>
      <c r="D798" s="43"/>
      <c r="E798" s="42"/>
      <c r="F798" s="43"/>
      <c r="G798" s="43"/>
      <c r="H798" s="43"/>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c r="AS798" s="44"/>
      <c r="AT798" s="44"/>
      <c r="AU798" s="44"/>
      <c r="AV798" s="44"/>
      <c r="AW798" s="44"/>
      <c r="AX798" s="44"/>
      <c r="AY798" s="44"/>
      <c r="AZ798" s="44"/>
      <c r="BA798" s="44"/>
      <c r="BB798" s="44"/>
      <c r="BC798" s="44"/>
      <c r="BD798" s="44"/>
      <c r="BE798" s="44"/>
    </row>
    <row r="799">
      <c r="A799" s="42"/>
      <c r="B799" s="42"/>
      <c r="C799" s="43"/>
      <c r="D799" s="43"/>
      <c r="E799" s="42"/>
      <c r="F799" s="43"/>
      <c r="G799" s="43"/>
      <c r="H799" s="43"/>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c r="AY799" s="44"/>
      <c r="AZ799" s="44"/>
      <c r="BA799" s="44"/>
      <c r="BB799" s="44"/>
      <c r="BC799" s="44"/>
      <c r="BD799" s="44"/>
      <c r="BE799" s="44"/>
    </row>
    <row r="800">
      <c r="A800" s="42"/>
      <c r="B800" s="42"/>
      <c r="C800" s="43"/>
      <c r="D800" s="43"/>
      <c r="E800" s="42"/>
      <c r="F800" s="43"/>
      <c r="G800" s="43"/>
      <c r="H800" s="43"/>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c r="AS800" s="44"/>
      <c r="AT800" s="44"/>
      <c r="AU800" s="44"/>
      <c r="AV800" s="44"/>
      <c r="AW800" s="44"/>
      <c r="AX800" s="44"/>
      <c r="AY800" s="44"/>
      <c r="AZ800" s="44"/>
      <c r="BA800" s="44"/>
      <c r="BB800" s="44"/>
      <c r="BC800" s="44"/>
      <c r="BD800" s="44"/>
      <c r="BE800" s="44"/>
    </row>
    <row r="801">
      <c r="A801" s="42"/>
      <c r="B801" s="42"/>
      <c r="C801" s="43"/>
      <c r="D801" s="43"/>
      <c r="E801" s="42"/>
      <c r="F801" s="43"/>
      <c r="G801" s="43"/>
      <c r="H801" s="43"/>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c r="AS801" s="44"/>
      <c r="AT801" s="44"/>
      <c r="AU801" s="44"/>
      <c r="AV801" s="44"/>
      <c r="AW801" s="44"/>
      <c r="AX801" s="44"/>
      <c r="AY801" s="44"/>
      <c r="AZ801" s="44"/>
      <c r="BA801" s="44"/>
      <c r="BB801" s="44"/>
      <c r="BC801" s="44"/>
      <c r="BD801" s="44"/>
      <c r="BE801" s="44"/>
    </row>
    <row r="802">
      <c r="A802" s="42"/>
      <c r="B802" s="42"/>
      <c r="C802" s="43"/>
      <c r="D802" s="43"/>
      <c r="E802" s="42"/>
      <c r="F802" s="43"/>
      <c r="G802" s="43"/>
      <c r="H802" s="43"/>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c r="AR802" s="44"/>
      <c r="AS802" s="44"/>
      <c r="AT802" s="44"/>
      <c r="AU802" s="44"/>
      <c r="AV802" s="44"/>
      <c r="AW802" s="44"/>
      <c r="AX802" s="44"/>
      <c r="AY802" s="44"/>
      <c r="AZ802" s="44"/>
      <c r="BA802" s="44"/>
      <c r="BB802" s="44"/>
      <c r="BC802" s="44"/>
      <c r="BD802" s="44"/>
      <c r="BE802" s="44"/>
    </row>
    <row r="803">
      <c r="A803" s="42"/>
      <c r="B803" s="42"/>
      <c r="C803" s="43"/>
      <c r="D803" s="43"/>
      <c r="E803" s="42"/>
      <c r="F803" s="43"/>
      <c r="G803" s="43"/>
      <c r="H803" s="43"/>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c r="AR803" s="44"/>
      <c r="AS803" s="44"/>
      <c r="AT803" s="44"/>
      <c r="AU803" s="44"/>
      <c r="AV803" s="44"/>
      <c r="AW803" s="44"/>
      <c r="AX803" s="44"/>
      <c r="AY803" s="44"/>
      <c r="AZ803" s="44"/>
      <c r="BA803" s="44"/>
      <c r="BB803" s="44"/>
      <c r="BC803" s="44"/>
      <c r="BD803" s="44"/>
      <c r="BE803" s="44"/>
    </row>
    <row r="804">
      <c r="A804" s="42"/>
      <c r="B804" s="42"/>
      <c r="C804" s="43"/>
      <c r="D804" s="43"/>
      <c r="E804" s="42"/>
      <c r="F804" s="43"/>
      <c r="G804" s="43"/>
      <c r="H804" s="43"/>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c r="AR804" s="44"/>
      <c r="AS804" s="44"/>
      <c r="AT804" s="44"/>
      <c r="AU804" s="44"/>
      <c r="AV804" s="44"/>
      <c r="AW804" s="44"/>
      <c r="AX804" s="44"/>
      <c r="AY804" s="44"/>
      <c r="AZ804" s="44"/>
      <c r="BA804" s="44"/>
      <c r="BB804" s="44"/>
      <c r="BC804" s="44"/>
      <c r="BD804" s="44"/>
      <c r="BE804" s="44"/>
    </row>
    <row r="805">
      <c r="A805" s="42"/>
      <c r="B805" s="42"/>
      <c r="C805" s="43"/>
      <c r="D805" s="43"/>
      <c r="E805" s="42"/>
      <c r="F805" s="43"/>
      <c r="G805" s="43"/>
      <c r="H805" s="43"/>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c r="AR805" s="44"/>
      <c r="AS805" s="44"/>
      <c r="AT805" s="44"/>
      <c r="AU805" s="44"/>
      <c r="AV805" s="44"/>
      <c r="AW805" s="44"/>
      <c r="AX805" s="44"/>
      <c r="AY805" s="44"/>
      <c r="AZ805" s="44"/>
      <c r="BA805" s="44"/>
      <c r="BB805" s="44"/>
      <c r="BC805" s="44"/>
      <c r="BD805" s="44"/>
      <c r="BE805" s="44"/>
    </row>
    <row r="806">
      <c r="A806" s="42"/>
      <c r="B806" s="42"/>
      <c r="C806" s="43"/>
      <c r="D806" s="43"/>
      <c r="E806" s="42"/>
      <c r="F806" s="43"/>
      <c r="G806" s="43"/>
      <c r="H806" s="43"/>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c r="AR806" s="44"/>
      <c r="AS806" s="44"/>
      <c r="AT806" s="44"/>
      <c r="AU806" s="44"/>
      <c r="AV806" s="44"/>
      <c r="AW806" s="44"/>
      <c r="AX806" s="44"/>
      <c r="AY806" s="44"/>
      <c r="AZ806" s="44"/>
      <c r="BA806" s="44"/>
      <c r="BB806" s="44"/>
      <c r="BC806" s="44"/>
      <c r="BD806" s="44"/>
      <c r="BE806" s="44"/>
    </row>
    <row r="807">
      <c r="A807" s="42"/>
      <c r="B807" s="42"/>
      <c r="C807" s="43"/>
      <c r="D807" s="43"/>
      <c r="E807" s="42"/>
      <c r="F807" s="43"/>
      <c r="G807" s="43"/>
      <c r="H807" s="43"/>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c r="AR807" s="44"/>
      <c r="AS807" s="44"/>
      <c r="AT807" s="44"/>
      <c r="AU807" s="44"/>
      <c r="AV807" s="44"/>
      <c r="AW807" s="44"/>
      <c r="AX807" s="44"/>
      <c r="AY807" s="44"/>
      <c r="AZ807" s="44"/>
      <c r="BA807" s="44"/>
      <c r="BB807" s="44"/>
      <c r="BC807" s="44"/>
      <c r="BD807" s="44"/>
      <c r="BE807" s="44"/>
    </row>
    <row r="808">
      <c r="A808" s="42"/>
      <c r="B808" s="42"/>
      <c r="C808" s="43"/>
      <c r="D808" s="43"/>
      <c r="E808" s="42"/>
      <c r="F808" s="43"/>
      <c r="G808" s="43"/>
      <c r="H808" s="43"/>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c r="AY808" s="44"/>
      <c r="AZ808" s="44"/>
      <c r="BA808" s="44"/>
      <c r="BB808" s="44"/>
      <c r="BC808" s="44"/>
      <c r="BD808" s="44"/>
      <c r="BE808" s="44"/>
    </row>
    <row r="809">
      <c r="A809" s="42"/>
      <c r="B809" s="42"/>
      <c r="C809" s="43"/>
      <c r="D809" s="43"/>
      <c r="E809" s="42"/>
      <c r="F809" s="43"/>
      <c r="G809" s="43"/>
      <c r="H809" s="43"/>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c r="AY809" s="44"/>
      <c r="AZ809" s="44"/>
      <c r="BA809" s="44"/>
      <c r="BB809" s="44"/>
      <c r="BC809" s="44"/>
      <c r="BD809" s="44"/>
      <c r="BE809" s="44"/>
    </row>
    <row r="810">
      <c r="A810" s="42"/>
      <c r="B810" s="42"/>
      <c r="C810" s="43"/>
      <c r="D810" s="43"/>
      <c r="E810" s="42"/>
      <c r="F810" s="43"/>
      <c r="G810" s="43"/>
      <c r="H810" s="43"/>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c r="AS810" s="44"/>
      <c r="AT810" s="44"/>
      <c r="AU810" s="44"/>
      <c r="AV810" s="44"/>
      <c r="AW810" s="44"/>
      <c r="AX810" s="44"/>
      <c r="AY810" s="44"/>
      <c r="AZ810" s="44"/>
      <c r="BA810" s="44"/>
      <c r="BB810" s="44"/>
      <c r="BC810" s="44"/>
      <c r="BD810" s="44"/>
      <c r="BE810" s="44"/>
    </row>
    <row r="811">
      <c r="A811" s="42"/>
      <c r="B811" s="42"/>
      <c r="C811" s="43"/>
      <c r="D811" s="43"/>
      <c r="E811" s="42"/>
      <c r="F811" s="43"/>
      <c r="G811" s="43"/>
      <c r="H811" s="43"/>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c r="AS811" s="44"/>
      <c r="AT811" s="44"/>
      <c r="AU811" s="44"/>
      <c r="AV811" s="44"/>
      <c r="AW811" s="44"/>
      <c r="AX811" s="44"/>
      <c r="AY811" s="44"/>
      <c r="AZ811" s="44"/>
      <c r="BA811" s="44"/>
      <c r="BB811" s="44"/>
      <c r="BC811" s="44"/>
      <c r="BD811" s="44"/>
      <c r="BE811" s="44"/>
    </row>
    <row r="812">
      <c r="A812" s="42"/>
      <c r="B812" s="42"/>
      <c r="C812" s="43"/>
      <c r="D812" s="43"/>
      <c r="E812" s="42"/>
      <c r="F812" s="43"/>
      <c r="G812" s="43"/>
      <c r="H812" s="43"/>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c r="AS812" s="44"/>
      <c r="AT812" s="44"/>
      <c r="AU812" s="44"/>
      <c r="AV812" s="44"/>
      <c r="AW812" s="44"/>
      <c r="AX812" s="44"/>
      <c r="AY812" s="44"/>
      <c r="AZ812" s="44"/>
      <c r="BA812" s="44"/>
      <c r="BB812" s="44"/>
      <c r="BC812" s="44"/>
      <c r="BD812" s="44"/>
      <c r="BE812" s="44"/>
    </row>
    <row r="813">
      <c r="A813" s="42"/>
      <c r="B813" s="42"/>
      <c r="C813" s="43"/>
      <c r="D813" s="43"/>
      <c r="E813" s="42"/>
      <c r="F813" s="43"/>
      <c r="G813" s="43"/>
      <c r="H813" s="43"/>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c r="AS813" s="44"/>
      <c r="AT813" s="44"/>
      <c r="AU813" s="44"/>
      <c r="AV813" s="44"/>
      <c r="AW813" s="44"/>
      <c r="AX813" s="44"/>
      <c r="AY813" s="44"/>
      <c r="AZ813" s="44"/>
      <c r="BA813" s="44"/>
      <c r="BB813" s="44"/>
      <c r="BC813" s="44"/>
      <c r="BD813" s="44"/>
      <c r="BE813" s="44"/>
    </row>
    <row r="814">
      <c r="A814" s="42"/>
      <c r="B814" s="42"/>
      <c r="C814" s="43"/>
      <c r="D814" s="43"/>
      <c r="E814" s="42"/>
      <c r="F814" s="43"/>
      <c r="G814" s="43"/>
      <c r="H814" s="43"/>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c r="AY814" s="44"/>
      <c r="AZ814" s="44"/>
      <c r="BA814" s="44"/>
      <c r="BB814" s="44"/>
      <c r="BC814" s="44"/>
      <c r="BD814" s="44"/>
      <c r="BE814" s="44"/>
    </row>
    <row r="815">
      <c r="A815" s="42"/>
      <c r="B815" s="42"/>
      <c r="C815" s="43"/>
      <c r="D815" s="43"/>
      <c r="E815" s="42"/>
      <c r="F815" s="43"/>
      <c r="G815" s="43"/>
      <c r="H815" s="43"/>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c r="AS815" s="44"/>
      <c r="AT815" s="44"/>
      <c r="AU815" s="44"/>
      <c r="AV815" s="44"/>
      <c r="AW815" s="44"/>
      <c r="AX815" s="44"/>
      <c r="AY815" s="44"/>
      <c r="AZ815" s="44"/>
      <c r="BA815" s="44"/>
      <c r="BB815" s="44"/>
      <c r="BC815" s="44"/>
      <c r="BD815" s="44"/>
      <c r="BE815" s="44"/>
    </row>
    <row r="816">
      <c r="A816" s="42"/>
      <c r="B816" s="42"/>
      <c r="C816" s="43"/>
      <c r="D816" s="43"/>
      <c r="E816" s="42"/>
      <c r="F816" s="43"/>
      <c r="G816" s="43"/>
      <c r="H816" s="43"/>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c r="AS816" s="44"/>
      <c r="AT816" s="44"/>
      <c r="AU816" s="44"/>
      <c r="AV816" s="44"/>
      <c r="AW816" s="44"/>
      <c r="AX816" s="44"/>
      <c r="AY816" s="44"/>
      <c r="AZ816" s="44"/>
      <c r="BA816" s="44"/>
      <c r="BB816" s="44"/>
      <c r="BC816" s="44"/>
      <c r="BD816" s="44"/>
      <c r="BE816" s="44"/>
    </row>
    <row r="817">
      <c r="A817" s="42"/>
      <c r="B817" s="42"/>
      <c r="C817" s="43"/>
      <c r="D817" s="43"/>
      <c r="E817" s="42"/>
      <c r="F817" s="43"/>
      <c r="G817" s="43"/>
      <c r="H817" s="43"/>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c r="AR817" s="44"/>
      <c r="AS817" s="44"/>
      <c r="AT817" s="44"/>
      <c r="AU817" s="44"/>
      <c r="AV817" s="44"/>
      <c r="AW817" s="44"/>
      <c r="AX817" s="44"/>
      <c r="AY817" s="44"/>
      <c r="AZ817" s="44"/>
      <c r="BA817" s="44"/>
      <c r="BB817" s="44"/>
      <c r="BC817" s="44"/>
      <c r="BD817" s="44"/>
      <c r="BE817" s="44"/>
    </row>
    <row r="818">
      <c r="A818" s="42"/>
      <c r="B818" s="42"/>
      <c r="C818" s="43"/>
      <c r="D818" s="43"/>
      <c r="E818" s="42"/>
      <c r="F818" s="43"/>
      <c r="G818" s="43"/>
      <c r="H818" s="43"/>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c r="AR818" s="44"/>
      <c r="AS818" s="44"/>
      <c r="AT818" s="44"/>
      <c r="AU818" s="44"/>
      <c r="AV818" s="44"/>
      <c r="AW818" s="44"/>
      <c r="AX818" s="44"/>
      <c r="AY818" s="44"/>
      <c r="AZ818" s="44"/>
      <c r="BA818" s="44"/>
      <c r="BB818" s="44"/>
      <c r="BC818" s="44"/>
      <c r="BD818" s="44"/>
      <c r="BE818" s="44"/>
    </row>
    <row r="819">
      <c r="A819" s="42"/>
      <c r="B819" s="42"/>
      <c r="C819" s="43"/>
      <c r="D819" s="43"/>
      <c r="E819" s="42"/>
      <c r="F819" s="43"/>
      <c r="G819" s="43"/>
      <c r="H819" s="43"/>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c r="AR819" s="44"/>
      <c r="AS819" s="44"/>
      <c r="AT819" s="44"/>
      <c r="AU819" s="44"/>
      <c r="AV819" s="44"/>
      <c r="AW819" s="44"/>
      <c r="AX819" s="44"/>
      <c r="AY819" s="44"/>
      <c r="AZ819" s="44"/>
      <c r="BA819" s="44"/>
      <c r="BB819" s="44"/>
      <c r="BC819" s="44"/>
      <c r="BD819" s="44"/>
      <c r="BE819" s="44"/>
    </row>
    <row r="820">
      <c r="A820" s="42"/>
      <c r="B820" s="42"/>
      <c r="C820" s="43"/>
      <c r="D820" s="43"/>
      <c r="E820" s="42"/>
      <c r="F820" s="43"/>
      <c r="G820" s="43"/>
      <c r="H820" s="43"/>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c r="AR820" s="44"/>
      <c r="AS820" s="44"/>
      <c r="AT820" s="44"/>
      <c r="AU820" s="44"/>
      <c r="AV820" s="44"/>
      <c r="AW820" s="44"/>
      <c r="AX820" s="44"/>
      <c r="AY820" s="44"/>
      <c r="AZ820" s="44"/>
      <c r="BA820" s="44"/>
      <c r="BB820" s="44"/>
      <c r="BC820" s="44"/>
      <c r="BD820" s="44"/>
      <c r="BE820" s="44"/>
    </row>
    <row r="821">
      <c r="A821" s="42"/>
      <c r="B821" s="42"/>
      <c r="C821" s="43"/>
      <c r="D821" s="43"/>
      <c r="E821" s="42"/>
      <c r="F821" s="43"/>
      <c r="G821" s="43"/>
      <c r="H821" s="43"/>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c r="AY821" s="44"/>
      <c r="AZ821" s="44"/>
      <c r="BA821" s="44"/>
      <c r="BB821" s="44"/>
      <c r="BC821" s="44"/>
      <c r="BD821" s="44"/>
      <c r="BE821" s="44"/>
    </row>
    <row r="822">
      <c r="A822" s="42"/>
      <c r="B822" s="42"/>
      <c r="C822" s="43"/>
      <c r="D822" s="43"/>
      <c r="E822" s="42"/>
      <c r="F822" s="43"/>
      <c r="G822" s="43"/>
      <c r="H822" s="43"/>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c r="AY822" s="44"/>
      <c r="AZ822" s="44"/>
      <c r="BA822" s="44"/>
      <c r="BB822" s="44"/>
      <c r="BC822" s="44"/>
      <c r="BD822" s="44"/>
      <c r="BE822" s="44"/>
    </row>
    <row r="823">
      <c r="A823" s="42"/>
      <c r="B823" s="42"/>
      <c r="C823" s="43"/>
      <c r="D823" s="43"/>
      <c r="E823" s="42"/>
      <c r="F823" s="43"/>
      <c r="G823" s="43"/>
      <c r="H823" s="43"/>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c r="AY823" s="44"/>
      <c r="AZ823" s="44"/>
      <c r="BA823" s="44"/>
      <c r="BB823" s="44"/>
      <c r="BC823" s="44"/>
      <c r="BD823" s="44"/>
      <c r="BE823" s="44"/>
    </row>
    <row r="824">
      <c r="A824" s="42"/>
      <c r="B824" s="42"/>
      <c r="C824" s="43"/>
      <c r="D824" s="43"/>
      <c r="E824" s="42"/>
      <c r="F824" s="43"/>
      <c r="G824" s="43"/>
      <c r="H824" s="43"/>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4"/>
      <c r="AV824" s="44"/>
      <c r="AW824" s="44"/>
      <c r="AX824" s="44"/>
      <c r="AY824" s="44"/>
      <c r="AZ824" s="44"/>
      <c r="BA824" s="44"/>
      <c r="BB824" s="44"/>
      <c r="BC824" s="44"/>
      <c r="BD824" s="44"/>
      <c r="BE824" s="44"/>
    </row>
    <row r="825">
      <c r="A825" s="42"/>
      <c r="B825" s="42"/>
      <c r="C825" s="43"/>
      <c r="D825" s="43"/>
      <c r="E825" s="42"/>
      <c r="F825" s="43"/>
      <c r="G825" s="43"/>
      <c r="H825" s="43"/>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c r="AY825" s="44"/>
      <c r="AZ825" s="44"/>
      <c r="BA825" s="44"/>
      <c r="BB825" s="44"/>
      <c r="BC825" s="44"/>
      <c r="BD825" s="44"/>
      <c r="BE825" s="44"/>
    </row>
    <row r="826">
      <c r="A826" s="42"/>
      <c r="B826" s="42"/>
      <c r="C826" s="43"/>
      <c r="D826" s="43"/>
      <c r="E826" s="42"/>
      <c r="F826" s="43"/>
      <c r="G826" s="43"/>
      <c r="H826" s="43"/>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c r="AR826" s="44"/>
      <c r="AS826" s="44"/>
      <c r="AT826" s="44"/>
      <c r="AU826" s="44"/>
      <c r="AV826" s="44"/>
      <c r="AW826" s="44"/>
      <c r="AX826" s="44"/>
      <c r="AY826" s="44"/>
      <c r="AZ826" s="44"/>
      <c r="BA826" s="44"/>
      <c r="BB826" s="44"/>
      <c r="BC826" s="44"/>
      <c r="BD826" s="44"/>
      <c r="BE826" s="44"/>
    </row>
    <row r="827">
      <c r="A827" s="42"/>
      <c r="B827" s="42"/>
      <c r="C827" s="43"/>
      <c r="D827" s="43"/>
      <c r="E827" s="42"/>
      <c r="F827" s="43"/>
      <c r="G827" s="43"/>
      <c r="H827" s="43"/>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4"/>
      <c r="AV827" s="44"/>
      <c r="AW827" s="44"/>
      <c r="AX827" s="44"/>
      <c r="AY827" s="44"/>
      <c r="AZ827" s="44"/>
      <c r="BA827" s="44"/>
      <c r="BB827" s="44"/>
      <c r="BC827" s="44"/>
      <c r="BD827" s="44"/>
      <c r="BE827" s="44"/>
    </row>
    <row r="828">
      <c r="A828" s="42"/>
      <c r="B828" s="42"/>
      <c r="C828" s="43"/>
      <c r="D828" s="43"/>
      <c r="E828" s="42"/>
      <c r="F828" s="43"/>
      <c r="G828" s="43"/>
      <c r="H828" s="43"/>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c r="AY828" s="44"/>
      <c r="AZ828" s="44"/>
      <c r="BA828" s="44"/>
      <c r="BB828" s="44"/>
      <c r="BC828" s="44"/>
      <c r="BD828" s="44"/>
      <c r="BE828" s="44"/>
    </row>
    <row r="829">
      <c r="A829" s="42"/>
      <c r="B829" s="42"/>
      <c r="C829" s="43"/>
      <c r="D829" s="43"/>
      <c r="E829" s="42"/>
      <c r="F829" s="43"/>
      <c r="G829" s="43"/>
      <c r="H829" s="43"/>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4"/>
      <c r="AV829" s="44"/>
      <c r="AW829" s="44"/>
      <c r="AX829" s="44"/>
      <c r="AY829" s="44"/>
      <c r="AZ829" s="44"/>
      <c r="BA829" s="44"/>
      <c r="BB829" s="44"/>
      <c r="BC829" s="44"/>
      <c r="BD829" s="44"/>
      <c r="BE829" s="44"/>
    </row>
    <row r="830">
      <c r="A830" s="42"/>
      <c r="B830" s="42"/>
      <c r="C830" s="43"/>
      <c r="D830" s="43"/>
      <c r="E830" s="42"/>
      <c r="F830" s="43"/>
      <c r="G830" s="43"/>
      <c r="H830" s="43"/>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c r="AR830" s="44"/>
      <c r="AS830" s="44"/>
      <c r="AT830" s="44"/>
      <c r="AU830" s="44"/>
      <c r="AV830" s="44"/>
      <c r="AW830" s="44"/>
      <c r="AX830" s="44"/>
      <c r="AY830" s="44"/>
      <c r="AZ830" s="44"/>
      <c r="BA830" s="44"/>
      <c r="BB830" s="44"/>
      <c r="BC830" s="44"/>
      <c r="BD830" s="44"/>
      <c r="BE830" s="44"/>
    </row>
    <row r="831">
      <c r="A831" s="42"/>
      <c r="B831" s="42"/>
      <c r="C831" s="43"/>
      <c r="D831" s="43"/>
      <c r="E831" s="42"/>
      <c r="F831" s="43"/>
      <c r="G831" s="43"/>
      <c r="H831" s="43"/>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c r="AY831" s="44"/>
      <c r="AZ831" s="44"/>
      <c r="BA831" s="44"/>
      <c r="BB831" s="44"/>
      <c r="BC831" s="44"/>
      <c r="BD831" s="44"/>
      <c r="BE831" s="44"/>
    </row>
    <row r="832">
      <c r="A832" s="42"/>
      <c r="B832" s="42"/>
      <c r="C832" s="43"/>
      <c r="D832" s="43"/>
      <c r="E832" s="42"/>
      <c r="F832" s="43"/>
      <c r="G832" s="43"/>
      <c r="H832" s="43"/>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c r="AY832" s="44"/>
      <c r="AZ832" s="44"/>
      <c r="BA832" s="44"/>
      <c r="BB832" s="44"/>
      <c r="BC832" s="44"/>
      <c r="BD832" s="44"/>
      <c r="BE832" s="44"/>
    </row>
    <row r="833">
      <c r="A833" s="42"/>
      <c r="B833" s="42"/>
      <c r="C833" s="43"/>
      <c r="D833" s="43"/>
      <c r="E833" s="42"/>
      <c r="F833" s="43"/>
      <c r="G833" s="43"/>
      <c r="H833" s="43"/>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c r="AY833" s="44"/>
      <c r="AZ833" s="44"/>
      <c r="BA833" s="44"/>
      <c r="BB833" s="44"/>
      <c r="BC833" s="44"/>
      <c r="BD833" s="44"/>
      <c r="BE833" s="44"/>
    </row>
    <row r="834">
      <c r="A834" s="42"/>
      <c r="B834" s="42"/>
      <c r="C834" s="43"/>
      <c r="D834" s="43"/>
      <c r="E834" s="42"/>
      <c r="F834" s="43"/>
      <c r="G834" s="43"/>
      <c r="H834" s="43"/>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c r="AR834" s="44"/>
      <c r="AS834" s="44"/>
      <c r="AT834" s="44"/>
      <c r="AU834" s="44"/>
      <c r="AV834" s="44"/>
      <c r="AW834" s="44"/>
      <c r="AX834" s="44"/>
      <c r="AY834" s="44"/>
      <c r="AZ834" s="44"/>
      <c r="BA834" s="44"/>
      <c r="BB834" s="44"/>
      <c r="BC834" s="44"/>
      <c r="BD834" s="44"/>
      <c r="BE834" s="44"/>
    </row>
    <row r="835">
      <c r="A835" s="42"/>
      <c r="B835" s="42"/>
      <c r="C835" s="43"/>
      <c r="D835" s="43"/>
      <c r="E835" s="42"/>
      <c r="F835" s="43"/>
      <c r="G835" s="43"/>
      <c r="H835" s="43"/>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4"/>
      <c r="AV835" s="44"/>
      <c r="AW835" s="44"/>
      <c r="AX835" s="44"/>
      <c r="AY835" s="44"/>
      <c r="AZ835" s="44"/>
      <c r="BA835" s="44"/>
      <c r="BB835" s="44"/>
      <c r="BC835" s="44"/>
      <c r="BD835" s="44"/>
      <c r="BE835" s="44"/>
    </row>
    <row r="836">
      <c r="A836" s="42"/>
      <c r="B836" s="42"/>
      <c r="C836" s="43"/>
      <c r="D836" s="43"/>
      <c r="E836" s="42"/>
      <c r="F836" s="43"/>
      <c r="G836" s="43"/>
      <c r="H836" s="43"/>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c r="AY836" s="44"/>
      <c r="AZ836" s="44"/>
      <c r="BA836" s="44"/>
      <c r="BB836" s="44"/>
      <c r="BC836" s="44"/>
      <c r="BD836" s="44"/>
      <c r="BE836" s="44"/>
    </row>
    <row r="837">
      <c r="A837" s="42"/>
      <c r="B837" s="42"/>
      <c r="C837" s="43"/>
      <c r="D837" s="43"/>
      <c r="E837" s="42"/>
      <c r="F837" s="43"/>
      <c r="G837" s="43"/>
      <c r="H837" s="43"/>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row>
    <row r="838">
      <c r="A838" s="42"/>
      <c r="B838" s="42"/>
      <c r="C838" s="43"/>
      <c r="D838" s="43"/>
      <c r="E838" s="42"/>
      <c r="F838" s="43"/>
      <c r="G838" s="43"/>
      <c r="H838" s="43"/>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c r="AR838" s="44"/>
      <c r="AS838" s="44"/>
      <c r="AT838" s="44"/>
      <c r="AU838" s="44"/>
      <c r="AV838" s="44"/>
      <c r="AW838" s="44"/>
      <c r="AX838" s="44"/>
      <c r="AY838" s="44"/>
      <c r="AZ838" s="44"/>
      <c r="BA838" s="44"/>
      <c r="BB838" s="44"/>
      <c r="BC838" s="44"/>
      <c r="BD838" s="44"/>
      <c r="BE838" s="44"/>
    </row>
    <row r="839">
      <c r="A839" s="42"/>
      <c r="B839" s="42"/>
      <c r="C839" s="43"/>
      <c r="D839" s="43"/>
      <c r="E839" s="42"/>
      <c r="F839" s="43"/>
      <c r="G839" s="43"/>
      <c r="H839" s="43"/>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c r="AY839" s="44"/>
      <c r="AZ839" s="44"/>
      <c r="BA839" s="44"/>
      <c r="BB839" s="44"/>
      <c r="BC839" s="44"/>
      <c r="BD839" s="44"/>
      <c r="BE839" s="44"/>
    </row>
    <row r="840">
      <c r="A840" s="42"/>
      <c r="B840" s="42"/>
      <c r="C840" s="43"/>
      <c r="D840" s="43"/>
      <c r="E840" s="42"/>
      <c r="F840" s="43"/>
      <c r="G840" s="43"/>
      <c r="H840" s="43"/>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c r="AS840" s="44"/>
      <c r="AT840" s="44"/>
      <c r="AU840" s="44"/>
      <c r="AV840" s="44"/>
      <c r="AW840" s="44"/>
      <c r="AX840" s="44"/>
      <c r="AY840" s="44"/>
      <c r="AZ840" s="44"/>
      <c r="BA840" s="44"/>
      <c r="BB840" s="44"/>
      <c r="BC840" s="44"/>
      <c r="BD840" s="44"/>
      <c r="BE840" s="44"/>
    </row>
    <row r="841">
      <c r="A841" s="42"/>
      <c r="B841" s="42"/>
      <c r="C841" s="43"/>
      <c r="D841" s="43"/>
      <c r="E841" s="42"/>
      <c r="F841" s="43"/>
      <c r="G841" s="43"/>
      <c r="H841" s="43"/>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c r="AY841" s="44"/>
      <c r="AZ841" s="44"/>
      <c r="BA841" s="44"/>
      <c r="BB841" s="44"/>
      <c r="BC841" s="44"/>
      <c r="BD841" s="44"/>
      <c r="BE841" s="44"/>
    </row>
    <row r="842">
      <c r="A842" s="42"/>
      <c r="B842" s="42"/>
      <c r="C842" s="43"/>
      <c r="D842" s="43"/>
      <c r="E842" s="42"/>
      <c r="F842" s="43"/>
      <c r="G842" s="43"/>
      <c r="H842" s="43"/>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c r="AS842" s="44"/>
      <c r="AT842" s="44"/>
      <c r="AU842" s="44"/>
      <c r="AV842" s="44"/>
      <c r="AW842" s="44"/>
      <c r="AX842" s="44"/>
      <c r="AY842" s="44"/>
      <c r="AZ842" s="44"/>
      <c r="BA842" s="44"/>
      <c r="BB842" s="44"/>
      <c r="BC842" s="44"/>
      <c r="BD842" s="44"/>
      <c r="BE842" s="44"/>
    </row>
    <row r="843">
      <c r="A843" s="42"/>
      <c r="B843" s="42"/>
      <c r="C843" s="43"/>
      <c r="D843" s="43"/>
      <c r="E843" s="42"/>
      <c r="F843" s="43"/>
      <c r="G843" s="43"/>
      <c r="H843" s="43"/>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c r="AY843" s="44"/>
      <c r="AZ843" s="44"/>
      <c r="BA843" s="44"/>
      <c r="BB843" s="44"/>
      <c r="BC843" s="44"/>
      <c r="BD843" s="44"/>
      <c r="BE843" s="44"/>
    </row>
    <row r="844">
      <c r="A844" s="42"/>
      <c r="B844" s="42"/>
      <c r="C844" s="43"/>
      <c r="D844" s="43"/>
      <c r="E844" s="42"/>
      <c r="F844" s="43"/>
      <c r="G844" s="43"/>
      <c r="H844" s="43"/>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c r="AS844" s="44"/>
      <c r="AT844" s="44"/>
      <c r="AU844" s="44"/>
      <c r="AV844" s="44"/>
      <c r="AW844" s="44"/>
      <c r="AX844" s="44"/>
      <c r="AY844" s="44"/>
      <c r="AZ844" s="44"/>
      <c r="BA844" s="44"/>
      <c r="BB844" s="44"/>
      <c r="BC844" s="44"/>
      <c r="BD844" s="44"/>
      <c r="BE844" s="44"/>
    </row>
    <row r="845">
      <c r="A845" s="42"/>
      <c r="B845" s="42"/>
      <c r="C845" s="43"/>
      <c r="D845" s="43"/>
      <c r="E845" s="42"/>
      <c r="F845" s="43"/>
      <c r="G845" s="43"/>
      <c r="H845" s="43"/>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c r="AS845" s="44"/>
      <c r="AT845" s="44"/>
      <c r="AU845" s="44"/>
      <c r="AV845" s="44"/>
      <c r="AW845" s="44"/>
      <c r="AX845" s="44"/>
      <c r="AY845" s="44"/>
      <c r="AZ845" s="44"/>
      <c r="BA845" s="44"/>
      <c r="BB845" s="44"/>
      <c r="BC845" s="44"/>
      <c r="BD845" s="44"/>
      <c r="BE845" s="44"/>
    </row>
    <row r="846">
      <c r="A846" s="42"/>
      <c r="B846" s="42"/>
      <c r="C846" s="43"/>
      <c r="D846" s="43"/>
      <c r="E846" s="42"/>
      <c r="F846" s="43"/>
      <c r="G846" s="43"/>
      <c r="H846" s="43"/>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c r="AR846" s="44"/>
      <c r="AS846" s="44"/>
      <c r="AT846" s="44"/>
      <c r="AU846" s="44"/>
      <c r="AV846" s="44"/>
      <c r="AW846" s="44"/>
      <c r="AX846" s="44"/>
      <c r="AY846" s="44"/>
      <c r="AZ846" s="44"/>
      <c r="BA846" s="44"/>
      <c r="BB846" s="44"/>
      <c r="BC846" s="44"/>
      <c r="BD846" s="44"/>
      <c r="BE846" s="44"/>
    </row>
    <row r="847">
      <c r="A847" s="42"/>
      <c r="B847" s="42"/>
      <c r="C847" s="43"/>
      <c r="D847" s="43"/>
      <c r="E847" s="42"/>
      <c r="F847" s="43"/>
      <c r="G847" s="43"/>
      <c r="H847" s="43"/>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c r="AS847" s="44"/>
      <c r="AT847" s="44"/>
      <c r="AU847" s="44"/>
      <c r="AV847" s="44"/>
      <c r="AW847" s="44"/>
      <c r="AX847" s="44"/>
      <c r="AY847" s="44"/>
      <c r="AZ847" s="44"/>
      <c r="BA847" s="44"/>
      <c r="BB847" s="44"/>
      <c r="BC847" s="44"/>
      <c r="BD847" s="44"/>
      <c r="BE847" s="44"/>
    </row>
    <row r="848">
      <c r="A848" s="42"/>
      <c r="B848" s="42"/>
      <c r="C848" s="43"/>
      <c r="D848" s="43"/>
      <c r="E848" s="42"/>
      <c r="F848" s="43"/>
      <c r="G848" s="43"/>
      <c r="H848" s="43"/>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c r="AS848" s="44"/>
      <c r="AT848" s="44"/>
      <c r="AU848" s="44"/>
      <c r="AV848" s="44"/>
      <c r="AW848" s="44"/>
      <c r="AX848" s="44"/>
      <c r="AY848" s="44"/>
      <c r="AZ848" s="44"/>
      <c r="BA848" s="44"/>
      <c r="BB848" s="44"/>
      <c r="BC848" s="44"/>
      <c r="BD848" s="44"/>
      <c r="BE848" s="44"/>
    </row>
    <row r="849">
      <c r="A849" s="42"/>
      <c r="B849" s="42"/>
      <c r="C849" s="43"/>
      <c r="D849" s="43"/>
      <c r="E849" s="42"/>
      <c r="F849" s="43"/>
      <c r="G849" s="43"/>
      <c r="H849" s="43"/>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c r="AY849" s="44"/>
      <c r="AZ849" s="44"/>
      <c r="BA849" s="44"/>
      <c r="BB849" s="44"/>
      <c r="BC849" s="44"/>
      <c r="BD849" s="44"/>
      <c r="BE849" s="44"/>
    </row>
    <row r="850">
      <c r="A850" s="42"/>
      <c r="B850" s="42"/>
      <c r="C850" s="43"/>
      <c r="D850" s="43"/>
      <c r="E850" s="42"/>
      <c r="F850" s="43"/>
      <c r="G850" s="43"/>
      <c r="H850" s="43"/>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c r="AY850" s="44"/>
      <c r="AZ850" s="44"/>
      <c r="BA850" s="44"/>
      <c r="BB850" s="44"/>
      <c r="BC850" s="44"/>
      <c r="BD850" s="44"/>
      <c r="BE850" s="44"/>
    </row>
    <row r="851">
      <c r="A851" s="42"/>
      <c r="B851" s="42"/>
      <c r="C851" s="43"/>
      <c r="D851" s="43"/>
      <c r="E851" s="42"/>
      <c r="F851" s="43"/>
      <c r="G851" s="43"/>
      <c r="H851" s="43"/>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c r="AY851" s="44"/>
      <c r="AZ851" s="44"/>
      <c r="BA851" s="44"/>
      <c r="BB851" s="44"/>
      <c r="BC851" s="44"/>
      <c r="BD851" s="44"/>
      <c r="BE851" s="44"/>
    </row>
    <row r="852">
      <c r="A852" s="42"/>
      <c r="B852" s="42"/>
      <c r="C852" s="43"/>
      <c r="D852" s="43"/>
      <c r="E852" s="42"/>
      <c r="F852" s="43"/>
      <c r="G852" s="43"/>
      <c r="H852" s="43"/>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c r="AR852" s="44"/>
      <c r="AS852" s="44"/>
      <c r="AT852" s="44"/>
      <c r="AU852" s="44"/>
      <c r="AV852" s="44"/>
      <c r="AW852" s="44"/>
      <c r="AX852" s="44"/>
      <c r="AY852" s="44"/>
      <c r="AZ852" s="44"/>
      <c r="BA852" s="44"/>
      <c r="BB852" s="44"/>
      <c r="BC852" s="44"/>
      <c r="BD852" s="44"/>
      <c r="BE852" s="44"/>
    </row>
    <row r="853">
      <c r="A853" s="42"/>
      <c r="B853" s="42"/>
      <c r="C853" s="43"/>
      <c r="D853" s="43"/>
      <c r="E853" s="42"/>
      <c r="F853" s="43"/>
      <c r="G853" s="43"/>
      <c r="H853" s="43"/>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c r="AS853" s="44"/>
      <c r="AT853" s="44"/>
      <c r="AU853" s="44"/>
      <c r="AV853" s="44"/>
      <c r="AW853" s="44"/>
      <c r="AX853" s="44"/>
      <c r="AY853" s="44"/>
      <c r="AZ853" s="44"/>
      <c r="BA853" s="44"/>
      <c r="BB853" s="44"/>
      <c r="BC853" s="44"/>
      <c r="BD853" s="44"/>
      <c r="BE853" s="44"/>
    </row>
    <row r="854">
      <c r="A854" s="42"/>
      <c r="B854" s="42"/>
      <c r="C854" s="43"/>
      <c r="D854" s="43"/>
      <c r="E854" s="42"/>
      <c r="F854" s="43"/>
      <c r="G854" s="43"/>
      <c r="H854" s="43"/>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c r="AY854" s="44"/>
      <c r="AZ854" s="44"/>
      <c r="BA854" s="44"/>
      <c r="BB854" s="44"/>
      <c r="BC854" s="44"/>
      <c r="BD854" s="44"/>
      <c r="BE854" s="44"/>
    </row>
    <row r="855">
      <c r="A855" s="42"/>
      <c r="B855" s="42"/>
      <c r="C855" s="43"/>
      <c r="D855" s="43"/>
      <c r="E855" s="42"/>
      <c r="F855" s="43"/>
      <c r="G855" s="43"/>
      <c r="H855" s="43"/>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c r="AY855" s="44"/>
      <c r="AZ855" s="44"/>
      <c r="BA855" s="44"/>
      <c r="BB855" s="44"/>
      <c r="BC855" s="44"/>
      <c r="BD855" s="44"/>
      <c r="BE855" s="44"/>
    </row>
    <row r="856">
      <c r="A856" s="42"/>
      <c r="B856" s="42"/>
      <c r="C856" s="43"/>
      <c r="D856" s="43"/>
      <c r="E856" s="42"/>
      <c r="F856" s="43"/>
      <c r="G856" s="43"/>
      <c r="H856" s="43"/>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c r="AS856" s="44"/>
      <c r="AT856" s="44"/>
      <c r="AU856" s="44"/>
      <c r="AV856" s="44"/>
      <c r="AW856" s="44"/>
      <c r="AX856" s="44"/>
      <c r="AY856" s="44"/>
      <c r="AZ856" s="44"/>
      <c r="BA856" s="44"/>
      <c r="BB856" s="44"/>
      <c r="BC856" s="44"/>
      <c r="BD856" s="44"/>
      <c r="BE856" s="44"/>
    </row>
    <row r="857">
      <c r="A857" s="42"/>
      <c r="B857" s="42"/>
      <c r="C857" s="43"/>
      <c r="D857" s="43"/>
      <c r="E857" s="42"/>
      <c r="F857" s="43"/>
      <c r="G857" s="43"/>
      <c r="H857" s="43"/>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c r="AS857" s="44"/>
      <c r="AT857" s="44"/>
      <c r="AU857" s="44"/>
      <c r="AV857" s="44"/>
      <c r="AW857" s="44"/>
      <c r="AX857" s="44"/>
      <c r="AY857" s="44"/>
      <c r="AZ857" s="44"/>
      <c r="BA857" s="44"/>
      <c r="BB857" s="44"/>
      <c r="BC857" s="44"/>
      <c r="BD857" s="44"/>
      <c r="BE857" s="44"/>
    </row>
    <row r="858">
      <c r="A858" s="42"/>
      <c r="B858" s="42"/>
      <c r="C858" s="43"/>
      <c r="D858" s="43"/>
      <c r="E858" s="42"/>
      <c r="F858" s="43"/>
      <c r="G858" s="43"/>
      <c r="H858" s="43"/>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c r="AR858" s="44"/>
      <c r="AS858" s="44"/>
      <c r="AT858" s="44"/>
      <c r="AU858" s="44"/>
      <c r="AV858" s="44"/>
      <c r="AW858" s="44"/>
      <c r="AX858" s="44"/>
      <c r="AY858" s="44"/>
      <c r="AZ858" s="44"/>
      <c r="BA858" s="44"/>
      <c r="BB858" s="44"/>
      <c r="BC858" s="44"/>
      <c r="BD858" s="44"/>
      <c r="BE858" s="44"/>
    </row>
    <row r="859">
      <c r="A859" s="42"/>
      <c r="B859" s="42"/>
      <c r="C859" s="43"/>
      <c r="D859" s="43"/>
      <c r="E859" s="42"/>
      <c r="F859" s="43"/>
      <c r="G859" s="43"/>
      <c r="H859" s="43"/>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c r="AS859" s="44"/>
      <c r="AT859" s="44"/>
      <c r="AU859" s="44"/>
      <c r="AV859" s="44"/>
      <c r="AW859" s="44"/>
      <c r="AX859" s="44"/>
      <c r="AY859" s="44"/>
      <c r="AZ859" s="44"/>
      <c r="BA859" s="44"/>
      <c r="BB859" s="44"/>
      <c r="BC859" s="44"/>
      <c r="BD859" s="44"/>
      <c r="BE859" s="44"/>
    </row>
    <row r="860">
      <c r="A860" s="42"/>
      <c r="B860" s="42"/>
      <c r="C860" s="43"/>
      <c r="D860" s="43"/>
      <c r="E860" s="42"/>
      <c r="F860" s="43"/>
      <c r="G860" s="43"/>
      <c r="H860" s="43"/>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44"/>
    </row>
    <row r="861">
      <c r="A861" s="42"/>
      <c r="B861" s="42"/>
      <c r="C861" s="43"/>
      <c r="D861" s="43"/>
      <c r="E861" s="42"/>
      <c r="F861" s="43"/>
      <c r="G861" s="43"/>
      <c r="H861" s="43"/>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row>
    <row r="862">
      <c r="A862" s="42"/>
      <c r="B862" s="42"/>
      <c r="C862" s="43"/>
      <c r="D862" s="43"/>
      <c r="E862" s="42"/>
      <c r="F862" s="43"/>
      <c r="G862" s="43"/>
      <c r="H862" s="43"/>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c r="AY862" s="44"/>
      <c r="AZ862" s="44"/>
      <c r="BA862" s="44"/>
      <c r="BB862" s="44"/>
      <c r="BC862" s="44"/>
      <c r="BD862" s="44"/>
      <c r="BE862" s="44"/>
    </row>
    <row r="863">
      <c r="A863" s="42"/>
      <c r="B863" s="42"/>
      <c r="C863" s="43"/>
      <c r="D863" s="43"/>
      <c r="E863" s="42"/>
      <c r="F863" s="43"/>
      <c r="G863" s="43"/>
      <c r="H863" s="43"/>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c r="AR863" s="44"/>
      <c r="AS863" s="44"/>
      <c r="AT863" s="44"/>
      <c r="AU863" s="44"/>
      <c r="AV863" s="44"/>
      <c r="AW863" s="44"/>
      <c r="AX863" s="44"/>
      <c r="AY863" s="44"/>
      <c r="AZ863" s="44"/>
      <c r="BA863" s="44"/>
      <c r="BB863" s="44"/>
      <c r="BC863" s="44"/>
      <c r="BD863" s="44"/>
      <c r="BE863" s="44"/>
    </row>
    <row r="864">
      <c r="A864" s="42"/>
      <c r="B864" s="42"/>
      <c r="C864" s="43"/>
      <c r="D864" s="43"/>
      <c r="E864" s="42"/>
      <c r="F864" s="43"/>
      <c r="G864" s="43"/>
      <c r="H864" s="43"/>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c r="AR864" s="44"/>
      <c r="AS864" s="44"/>
      <c r="AT864" s="44"/>
      <c r="AU864" s="44"/>
      <c r="AV864" s="44"/>
      <c r="AW864" s="44"/>
      <c r="AX864" s="44"/>
      <c r="AY864" s="44"/>
      <c r="AZ864" s="44"/>
      <c r="BA864" s="44"/>
      <c r="BB864" s="44"/>
      <c r="BC864" s="44"/>
      <c r="BD864" s="44"/>
      <c r="BE864" s="44"/>
    </row>
    <row r="865">
      <c r="A865" s="42"/>
      <c r="B865" s="42"/>
      <c r="C865" s="43"/>
      <c r="D865" s="43"/>
      <c r="E865" s="42"/>
      <c r="F865" s="43"/>
      <c r="G865" s="43"/>
      <c r="H865" s="43"/>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c r="AR865" s="44"/>
      <c r="AS865" s="44"/>
      <c r="AT865" s="44"/>
      <c r="AU865" s="44"/>
      <c r="AV865" s="44"/>
      <c r="AW865" s="44"/>
      <c r="AX865" s="44"/>
      <c r="AY865" s="44"/>
      <c r="AZ865" s="44"/>
      <c r="BA865" s="44"/>
      <c r="BB865" s="44"/>
      <c r="BC865" s="44"/>
      <c r="BD865" s="44"/>
      <c r="BE865" s="44"/>
    </row>
    <row r="866">
      <c r="A866" s="42"/>
      <c r="B866" s="42"/>
      <c r="C866" s="43"/>
      <c r="D866" s="43"/>
      <c r="E866" s="42"/>
      <c r="F866" s="43"/>
      <c r="G866" s="43"/>
      <c r="H866" s="43"/>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c r="AR866" s="44"/>
      <c r="AS866" s="44"/>
      <c r="AT866" s="44"/>
      <c r="AU866" s="44"/>
      <c r="AV866" s="44"/>
      <c r="AW866" s="44"/>
      <c r="AX866" s="44"/>
      <c r="AY866" s="44"/>
      <c r="AZ866" s="44"/>
      <c r="BA866" s="44"/>
      <c r="BB866" s="44"/>
      <c r="BC866" s="44"/>
      <c r="BD866" s="44"/>
      <c r="BE866" s="44"/>
    </row>
    <row r="867">
      <c r="A867" s="42"/>
      <c r="B867" s="42"/>
      <c r="C867" s="43"/>
      <c r="D867" s="43"/>
      <c r="E867" s="42"/>
      <c r="F867" s="43"/>
      <c r="G867" s="43"/>
      <c r="H867" s="43"/>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c r="AS867" s="44"/>
      <c r="AT867" s="44"/>
      <c r="AU867" s="44"/>
      <c r="AV867" s="44"/>
      <c r="AW867" s="44"/>
      <c r="AX867" s="44"/>
      <c r="AY867" s="44"/>
      <c r="AZ867" s="44"/>
      <c r="BA867" s="44"/>
      <c r="BB867" s="44"/>
      <c r="BC867" s="44"/>
      <c r="BD867" s="44"/>
      <c r="BE867" s="44"/>
    </row>
    <row r="868">
      <c r="A868" s="42"/>
      <c r="B868" s="42"/>
      <c r="C868" s="43"/>
      <c r="D868" s="43"/>
      <c r="E868" s="42"/>
      <c r="F868" s="43"/>
      <c r="G868" s="43"/>
      <c r="H868" s="43"/>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c r="AR868" s="44"/>
      <c r="AS868" s="44"/>
      <c r="AT868" s="44"/>
      <c r="AU868" s="44"/>
      <c r="AV868" s="44"/>
      <c r="AW868" s="44"/>
      <c r="AX868" s="44"/>
      <c r="AY868" s="44"/>
      <c r="AZ868" s="44"/>
      <c r="BA868" s="44"/>
      <c r="BB868" s="44"/>
      <c r="BC868" s="44"/>
      <c r="BD868" s="44"/>
      <c r="BE868" s="44"/>
    </row>
    <row r="869">
      <c r="A869" s="42"/>
      <c r="B869" s="42"/>
      <c r="C869" s="43"/>
      <c r="D869" s="43"/>
      <c r="E869" s="42"/>
      <c r="F869" s="43"/>
      <c r="G869" s="43"/>
      <c r="H869" s="43"/>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c r="AR869" s="44"/>
      <c r="AS869" s="44"/>
      <c r="AT869" s="44"/>
      <c r="AU869" s="44"/>
      <c r="AV869" s="44"/>
      <c r="AW869" s="44"/>
      <c r="AX869" s="44"/>
      <c r="AY869" s="44"/>
      <c r="AZ869" s="44"/>
      <c r="BA869" s="44"/>
      <c r="BB869" s="44"/>
      <c r="BC869" s="44"/>
      <c r="BD869" s="44"/>
      <c r="BE869" s="44"/>
    </row>
    <row r="870">
      <c r="A870" s="42"/>
      <c r="B870" s="42"/>
      <c r="C870" s="43"/>
      <c r="D870" s="43"/>
      <c r="E870" s="42"/>
      <c r="F870" s="43"/>
      <c r="G870" s="43"/>
      <c r="H870" s="43"/>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c r="AR870" s="44"/>
      <c r="AS870" s="44"/>
      <c r="AT870" s="44"/>
      <c r="AU870" s="44"/>
      <c r="AV870" s="44"/>
      <c r="AW870" s="44"/>
      <c r="AX870" s="44"/>
      <c r="AY870" s="44"/>
      <c r="AZ870" s="44"/>
      <c r="BA870" s="44"/>
      <c r="BB870" s="44"/>
      <c r="BC870" s="44"/>
      <c r="BD870" s="44"/>
      <c r="BE870" s="44"/>
    </row>
    <row r="871">
      <c r="A871" s="42"/>
      <c r="B871" s="42"/>
      <c r="C871" s="43"/>
      <c r="D871" s="43"/>
      <c r="E871" s="42"/>
      <c r="F871" s="43"/>
      <c r="G871" s="43"/>
      <c r="H871" s="43"/>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c r="AR871" s="44"/>
      <c r="AS871" s="44"/>
      <c r="AT871" s="44"/>
      <c r="AU871" s="44"/>
      <c r="AV871" s="44"/>
      <c r="AW871" s="44"/>
      <c r="AX871" s="44"/>
      <c r="AY871" s="44"/>
      <c r="AZ871" s="44"/>
      <c r="BA871" s="44"/>
      <c r="BB871" s="44"/>
      <c r="BC871" s="44"/>
      <c r="BD871" s="44"/>
      <c r="BE871" s="44"/>
    </row>
    <row r="872">
      <c r="A872" s="42"/>
      <c r="B872" s="42"/>
      <c r="C872" s="43"/>
      <c r="D872" s="43"/>
      <c r="E872" s="42"/>
      <c r="F872" s="43"/>
      <c r="G872" s="43"/>
      <c r="H872" s="43"/>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c r="AR872" s="44"/>
      <c r="AS872" s="44"/>
      <c r="AT872" s="44"/>
      <c r="AU872" s="44"/>
      <c r="AV872" s="44"/>
      <c r="AW872" s="44"/>
      <c r="AX872" s="44"/>
      <c r="AY872" s="44"/>
      <c r="AZ872" s="44"/>
      <c r="BA872" s="44"/>
      <c r="BB872" s="44"/>
      <c r="BC872" s="44"/>
      <c r="BD872" s="44"/>
      <c r="BE872" s="44"/>
    </row>
    <row r="873">
      <c r="A873" s="42"/>
      <c r="B873" s="42"/>
      <c r="C873" s="43"/>
      <c r="D873" s="43"/>
      <c r="E873" s="42"/>
      <c r="F873" s="43"/>
      <c r="G873" s="43"/>
      <c r="H873" s="43"/>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c r="AS873" s="44"/>
      <c r="AT873" s="44"/>
      <c r="AU873" s="44"/>
      <c r="AV873" s="44"/>
      <c r="AW873" s="44"/>
      <c r="AX873" s="44"/>
      <c r="AY873" s="44"/>
      <c r="AZ873" s="44"/>
      <c r="BA873" s="44"/>
      <c r="BB873" s="44"/>
      <c r="BC873" s="44"/>
      <c r="BD873" s="44"/>
      <c r="BE873" s="44"/>
    </row>
  </sheetData>
  <dataValidations>
    <dataValidation type="list" allowBlank="1" showErrorMessage="1" sqref="B2:B92">
      <formula1>"Alta,Baja,Alta por Cambio de Area,Baja por Cambio de Area"</formula1>
    </dataValidation>
  </dataValidations>
  <drawing r:id="rId1"/>
</worksheet>
</file>